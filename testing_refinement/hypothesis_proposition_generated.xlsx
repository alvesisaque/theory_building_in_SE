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4.xml"/>
  <Override ContentType="application/vnd.ms-excel.documenttasks+xml" PartName="/xl/documenttasks/documenttask5.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5.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isualizacao_temporal" sheetId="1" r:id="rId5"/>
    <sheet state="visible" name="validation_refute_round_1" sheetId="2" r:id="rId6"/>
    <sheet state="visible" name="validation_refute_round_2" sheetId="3" r:id="rId7"/>
    <sheet state="visible" name="validation_refute_round_3" sheetId="4" r:id="rId8"/>
    <sheet state="visible" name="data_analysis" sheetId="5" r:id="rId9"/>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tc={49d1aa0a-1902-44d9-8469-126efa685294}</author>
  </authors>
  <commentList>
    <comment authorId="0" xr:uid="{49d1aa0a-1902-44d9-8469-126efa685294}" ref="A1">
      <text>
        <t xml:space="preserve">[Threaded comment]
 Your version of Excel allows you to read this threaded comment; however, any edits to it will get removed if the file is opened in a newer version of Excel. Learn more: https://go.microsoft.com/fwlink/?linkid=870924
Comment:
	acho que essas hipoteses n fazem sentido, sendo removidas logo no início do processo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tc={7434b854-2dab-4f76-b5e0-fb7624c1e4fc}</author>
  </authors>
  <commentList>
    <comment authorId="0" xr:uid="{7434b854-2dab-4f76-b5e0-fb7624c1e4fc}" ref="A53">
      <text>
        <t xml:space="preserve">[Threaded comment]
 Your version of Excel allows you to read this threaded comment; however, any edits to it will get removed if the file is opened in a newer version of Excel. Learn more: https://go.microsoft.com/fwlink/?linkid=870924
Comment:
	PEDIR AJUDA DA CARLA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tc={e04a196c-87de-437c-bcf3-4f8271eb3a50}</author>
  </authors>
  <commentList>
    <comment authorId="0" xr:uid="{e04a196c-87de-437c-bcf3-4f8271eb3a50}" ref="C30">
      <text>
        <t xml:space="preserve">[Threaded comment]
 Your version of Excel allows you to read this threaded comment; however, any edits to it will get removed if the file is opened in a newer version of Excel. Learn more: https://go.microsoft.com/fwlink/?linkid=870924
Comment:
	rever isso aqui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tc={09a9da0f-b6c8-4878-a470-9d55a71da701}</author>
    <author>tc={7540b1ef-2acf-4bac-a870-0c553fdd3b0e}</author>
  </authors>
  <commentList>
    <comment authorId="0" xr:uid="{09a9da0f-b6c8-4878-a470-9d55a71da701}" ref="A20">
      <text>
        <t xml:space="preserve">[Threaded comment]
 Your version of Excel allows you to read this threaded comment; however, any edits to it will get removed if the file is opened in a newer version of Excel. Learn more: https://go.microsoft.com/fwlink/?linkid=870924
Comment:
	REAVALIAR
</t>
      </text>
    </comment>
    <comment authorId="1" xr:uid="{7540b1ef-2acf-4bac-a870-0c553fdd3b0e}" ref="A31">
      <text>
        <t xml:space="preserve">[Threaded comment]
 Your version of Excel allows you to read this threaded comment; however, any edits to it will get removed if the file is opened in a newer version of Excel. Learn more: https://go.microsoft.com/fwlink/?linkid=870924
Comment:
	No leo eu validei como se fosse colaboração externa, aqui estou validando como colaboração interna. verificar qual a correta e independente eu ja tenho a validação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tc={eedc45f7-53fb-4bc0-bf9e-89eed60afca7}</author>
  </authors>
  <commentList>
    <comment authorId="0" xr:uid="{eedc45f7-53fb-4bc0-bf9e-89eed60afca7}" ref="V18">
      <text>
        <t xml:space="preserve">[Threaded comment]
 Your version of Excel allows you to read this threaded comment; however, any edits to it will get removed if the file is opened in a newer version of Excel. Learn more: https://go.microsoft.com/fwlink/?linkid=870924
Comment:
	da pra remover a 9.2
</t>
      </text>
    </comment>
  </commentList>
</comments>
</file>

<file path=xl/sharedStrings.xml><?xml version="1.0" encoding="utf-8"?>
<sst xmlns="http://schemas.openxmlformats.org/spreadsheetml/2006/main" count="1465" uniqueCount="466">
  <si>
    <t>Round 1</t>
  </si>
  <si>
    <t>Round 2</t>
  </si>
  <si>
    <t>Round 3</t>
  </si>
  <si>
    <t>versao final</t>
  </si>
  <si>
    <t>P1</t>
  </si>
  <si>
    <t>H1.1</t>
  </si>
  <si>
    <t>validado</t>
  </si>
  <si>
    <t>H1.2</t>
  </si>
  <si>
    <t>H1.3</t>
  </si>
  <si>
    <t>H1.4</t>
  </si>
  <si>
    <t>P2</t>
  </si>
  <si>
    <t>H2.1</t>
  </si>
  <si>
    <t>H2.2</t>
  </si>
  <si>
    <t>refutado</t>
  </si>
  <si>
    <t>H2.2 (AJUSTADO)</t>
  </si>
  <si>
    <t>H2.3</t>
  </si>
  <si>
    <t>H2.4</t>
  </si>
  <si>
    <t>H2.4 (AJUSTADO)</t>
  </si>
  <si>
    <t>P3</t>
  </si>
  <si>
    <t>H3.1</t>
  </si>
  <si>
    <t>H3.1'</t>
  </si>
  <si>
    <t>H3.3</t>
  </si>
  <si>
    <t>H3.3'</t>
  </si>
  <si>
    <t>P4</t>
  </si>
  <si>
    <t>H4.1</t>
  </si>
  <si>
    <t>H4.2</t>
  </si>
  <si>
    <t>H4.4</t>
  </si>
  <si>
    <t>H4.5</t>
  </si>
  <si>
    <t>H4.6</t>
  </si>
  <si>
    <t>H4.7</t>
  </si>
  <si>
    <t>H4.8</t>
  </si>
  <si>
    <t>H4.10</t>
  </si>
  <si>
    <t>removido</t>
  </si>
  <si>
    <t>H4.11</t>
  </si>
  <si>
    <t>H4.12</t>
  </si>
  <si>
    <t>P5</t>
  </si>
  <si>
    <t>H5.1</t>
  </si>
  <si>
    <t>H5.2</t>
  </si>
  <si>
    <t>H5.3</t>
  </si>
  <si>
    <t>H5.4</t>
  </si>
  <si>
    <t>P6</t>
  </si>
  <si>
    <t>H6.2</t>
  </si>
  <si>
    <t>H6.3</t>
  </si>
  <si>
    <t>H6.4</t>
  </si>
  <si>
    <t>H6.6</t>
  </si>
  <si>
    <t>H6.7</t>
  </si>
  <si>
    <t>H6.8</t>
  </si>
  <si>
    <t>P7</t>
  </si>
  <si>
    <t>H7.2</t>
  </si>
  <si>
    <t>H7.3</t>
  </si>
  <si>
    <t>H7.4</t>
  </si>
  <si>
    <t>H7.6</t>
  </si>
  <si>
    <t>H7.7</t>
  </si>
  <si>
    <t>P8</t>
  </si>
  <si>
    <t>H8.1</t>
  </si>
  <si>
    <t>H8.3</t>
  </si>
  <si>
    <t>P9</t>
  </si>
  <si>
    <t>H9.1</t>
  </si>
  <si>
    <t>H9.2</t>
  </si>
  <si>
    <t>H9.3</t>
  </si>
  <si>
    <t>H9.4</t>
  </si>
  <si>
    <t>H9.5</t>
  </si>
  <si>
    <t>H9.6</t>
  </si>
  <si>
    <t>P10</t>
  </si>
  <si>
    <t>H10.1</t>
  </si>
  <si>
    <t>H10.2</t>
  </si>
  <si>
    <t>H10.3</t>
  </si>
  <si>
    <t>P11</t>
  </si>
  <si>
    <t>H11.1</t>
  </si>
  <si>
    <t>H11.2</t>
  </si>
  <si>
    <t>P12</t>
  </si>
  <si>
    <t>H12.1</t>
  </si>
  <si>
    <t>H12.2</t>
  </si>
  <si>
    <t>P13</t>
  </si>
  <si>
    <t>H13.2</t>
  </si>
  <si>
    <t>H13.3</t>
  </si>
  <si>
    <t>H13.4</t>
  </si>
  <si>
    <t>H13.5</t>
  </si>
  <si>
    <t>P14</t>
  </si>
  <si>
    <t>H14.1</t>
  </si>
  <si>
    <t>H14.2</t>
  </si>
  <si>
    <t>H14.3</t>
  </si>
  <si>
    <t>H14.1'</t>
  </si>
  <si>
    <t>H14.2'</t>
  </si>
  <si>
    <t>H14.3'</t>
  </si>
  <si>
    <t>P15</t>
  </si>
  <si>
    <t>H15.1</t>
  </si>
  <si>
    <t>H15.2</t>
  </si>
  <si>
    <t>P16</t>
  </si>
  <si>
    <t>H16.1</t>
  </si>
  <si>
    <t>H16.2</t>
  </si>
  <si>
    <t>P17</t>
  </si>
  <si>
    <t>H17.1</t>
  </si>
  <si>
    <t>H17.2</t>
  </si>
  <si>
    <t>H17.3</t>
  </si>
  <si>
    <t>P18</t>
  </si>
  <si>
    <t>H18.1</t>
  </si>
  <si>
    <t>P19</t>
  </si>
  <si>
    <t>H19.1</t>
  </si>
  <si>
    <t>H19.2</t>
  </si>
  <si>
    <t>P20</t>
  </si>
  <si>
    <t>H20.1</t>
  </si>
  <si>
    <t>P21</t>
  </si>
  <si>
    <t>H21.1</t>
  </si>
  <si>
    <t>P22</t>
  </si>
  <si>
    <t>H22.1</t>
  </si>
  <si>
    <t>P23</t>
  </si>
  <si>
    <t>H23.1</t>
  </si>
  <si>
    <t>H23.2</t>
  </si>
  <si>
    <t>P24</t>
  </si>
  <si>
    <t>H24.1</t>
  </si>
  <si>
    <t>P25</t>
  </si>
  <si>
    <t>H25.1</t>
  </si>
  <si>
    <t>H25.2</t>
  </si>
  <si>
    <t>H25.3</t>
  </si>
  <si>
    <t>H25.4</t>
  </si>
  <si>
    <t>P28</t>
  </si>
  <si>
    <t>H28.1</t>
  </si>
  <si>
    <t>P29</t>
  </si>
  <si>
    <t>H29.1</t>
  </si>
  <si>
    <t>H29.2</t>
  </si>
  <si>
    <t>H29.3</t>
  </si>
  <si>
    <t>P30</t>
  </si>
  <si>
    <t>H30.1, H30.2</t>
  </si>
  <si>
    <t>H30.1 (H30.1 and H30.2)</t>
  </si>
  <si>
    <t>total Hipoteses</t>
  </si>
  <si>
    <t>refinado</t>
  </si>
  <si>
    <t>% discutida</t>
  </si>
  <si>
    <t>% validada</t>
  </si>
  <si>
    <t>evolução</t>
  </si>
  <si>
    <t>evolucao</t>
  </si>
  <si>
    <t>ID</t>
  </si>
  <si>
    <t>Titulo</t>
  </si>
  <si>
    <t>Status</t>
  </si>
  <si>
    <t>Interview</t>
  </si>
  <si>
    <t>quotation</t>
  </si>
  <si>
    <t>Observação</t>
  </si>
  <si>
    <t>A TEAM CULTURE BASED ON RESPONSIBILITY/OWNERSHIP SHARING ENABLES COLLABORATION</t>
  </si>
  <si>
    <t>A team culture based on the full sharing of responsibilities makes it possible to move from eventual to daily collaboration between team members.</t>
  </si>
  <si>
    <t>A team culture based on the full sharing of responsibilities makes it possible to move from low-quality to high-quality collaboration between team members.</t>
  </si>
  <si>
    <t>A team culture based on the medium sharing of responsibilities makes it possible to move from eventual collaboration between team members to daily collaboration.</t>
  </si>
  <si>
    <t>A team culture based on the medium sharing of responsibilities makes it possible to move from low-quality collaboration between team members to high-quality collaboration.</t>
  </si>
  <si>
    <t>PROMOTING COLLABORATION REDUCES ORGANIZATIONAL SILOS/CONFLICTS</t>
  </si>
  <si>
    <t>S1</t>
  </si>
  <si>
    <r>
      <rPr>
        <rFont val="Arial"/>
        <color theme="1"/>
      </rPr>
      <t xml:space="preserve">"¿En qué medida la colaboración puede contribuir a reducir los silos entre desarrollo y operaciones? Dicho  de otra forma, ¿con qué frecuencia crees que tienen que colaborar para reducir los silos? 
Respuesta (Manuel): 
Tendrían que </t>
    </r>
    <r>
      <rPr>
        <rFont val="Arial"/>
        <b/>
        <color theme="1"/>
      </rPr>
      <t>colaborar muy frecuentemente</t>
    </r>
    <r>
      <rPr>
        <rFont val="Arial"/>
        <color theme="1"/>
      </rPr>
      <t>, porque esto significa que el equipo de desarrollo no sabe o nunca visto cómo se crea un servidor o un servicio en cloud (porque hasta ahora eso  está dentro de un equipo de operaciones) y no tiene conocimiento de cómo hacer un deployment  o cómo saber si un deployment tiene éxito o no y no sabe qué se está monitorizando. Todo esto  está ocultado al equipo de desarrollo y no es visible para ellos. Entonces, sí, en este punto se necesita mucha colaboración.</t>
    </r>
  </si>
  <si>
    <t>Manuel exemplifies a silo between development and operations, characterized by the absence of visibility and cross-knowledge. He states that frequent collaboration is necessary to overcome it, which reinforces the proposition that promoting collaboration helps reduce organizational silos. 
Although the comment does not directly address conflicts, the type of isolation described is often the source of misunderstandings and frictions, so the relation with the proposition still holds.</t>
  </si>
  <si>
    <t>Teams with daily collaboration are associated with fewer organizational silos.</t>
  </si>
  <si>
    <t>Validated</t>
  </si>
  <si>
    <t>Tt is necessary frequent colaborate to reduce the silo between development and operations. This “muy frecuente” is aligned with the idea of daily collaboration or something very close to it. He describes the lack of collaboration as the cause of the silo and frequent collaboration as the solution.</t>
  </si>
  <si>
    <t>Teams with eventual collaboration are associated with fewer organizational silos.</t>
  </si>
  <si>
    <t>Refute</t>
  </si>
  <si>
    <t>Manoel does not consider eventual collaboration sufficient; instead, he emphasizes the need for frequent collaboration to break the silo. This weakens the validity of the hypothesis in the context described.</t>
  </si>
  <si>
    <t>Teams with high-quality collaboration are associated with fewer organizational silos.</t>
  </si>
  <si>
    <t>Teams with low-quality collaboration are associated with fewer organizational silos.</t>
  </si>
  <si>
    <t>Manuel’s suggests that low-quality collaboration would likely be ineffective, as he views collaboration as a means of transferring knowledge, which requires meaningful and informative interactions.</t>
  </si>
  <si>
    <t>AUTOMATED APPLICATION LIFE-CYCLE MANAGEMENT IS ASSOCIATED WITH COLLABORATION. COLLABORATION IMPACTS AUTOMATED APPLICATION LIFE-CYCLE MANAGEMENT AND VICE VERSA. AUTOMATION AND COLLABORATION MUTUALLY FACILITATE THE ADOPTION OF THE OTHER, SO THEY ARE COMPLEMENTARY</t>
  </si>
  <si>
    <t>A TEAM CULTURE BASED ON KNOWLEDGE SHARING ENABLES COLLABORATION</t>
  </si>
  <si>
    <t>Tenemos que crear una infraestructura, una base de  datos, por ejemplo, y para ello el equipo de desarrollo crea un ticket. El equipo de operaciones entonces va con ellos y lo hacen juntos. Este es un tipo de colaboración/facilitación, está entre medias. Cuando hacemos esto no es solo para crear la base de datos, sino para que el equipo de desarrollo entienda cómo funciona el proceso, qué tipo de herramientas se usan, etc.</t>
  </si>
  <si>
    <t>Manoel describes a scenario where development and operations teams collaborate to create a database. Beyond carrying out the technical task, collaboration is used as an opportunity for the development team to understand the processes, tools, and practices involved. This practice is a clear example of knowledge sharing, since the joint effort is aimed not only at delivering the product but also at transferring knowledge. This approach aligns with the proposition, as explicit knowledge sharing helps break down barriers between teams, fosters mutual understanding, and creates the conditions for richer and more frequent future collaborations. The comment serves as qualitative evidence that knowledge sharing can be a structuring element of collaboration.</t>
  </si>
  <si>
    <t>A team culture based on full knowledge sharing are associated with daily collaboration between team members</t>
  </si>
  <si>
    <t>It provides indirect support, but not enough evidence to validate.</t>
  </si>
  <si>
    <t>A team culture based on medium knowledge sharing are associated with daily collaboration between team members</t>
  </si>
  <si>
    <t>Not confirmed, the regularity is unclear. It could be occasional, but the account does not specify.</t>
  </si>
  <si>
    <t>A team culture based on full knowledge sharing are associated with eventual collaboration between team members</t>
  </si>
  <si>
    <t>A team culture based on medium knowledge sharing are associated with eventual collaboration between team members</t>
  </si>
  <si>
    <t>A team culture based on minimal knowledge sharing are associated with eventual collaboration between team members</t>
  </si>
  <si>
    <t>A team culture based on full knowledge sharing are associated with high quality collaboration between team members</t>
  </si>
  <si>
    <t>Manoel shows how knowledge is shared intentionally and in detail, which characterizes high-quality collaboration.</t>
  </si>
  <si>
    <t>A team culture based on medium knowledge sharing are associated with high quality collaboration between team members</t>
  </si>
  <si>
    <t>A team culture based on full knowledge sharing are associated with low quality collaboration between team members</t>
  </si>
  <si>
    <t>It refutes the hypothesis, the example reflects high quality, not low.</t>
  </si>
  <si>
    <t>A team culture based on medium knowledge sharing are associated with low quality collaboration between team members</t>
  </si>
  <si>
    <t>A team culture based on minimal knowledge sharing are associated with low quality collaboration between team members</t>
  </si>
  <si>
    <t>COLLABORATION IS A PROPERTY OF TEAMS IN WHICH SKILLS TAKE PRECEDENCE OVER ROLES, I.E., THE ROLE DEFINITION/ATTRIBUTIONS CODE; HENCE, IF THERE ARE ALREADY SEPARATE ROLES, RESPONSIBILITIES ARE VERY CLEAR AND COLLABORATION IS NOT FOSTERED OR PROMOTED</t>
  </si>
  <si>
    <t>Teams where skills take precedence over roles are associated with daily collaboration</t>
  </si>
  <si>
    <t>S3</t>
  </si>
  <si>
    <t>"I want a product person to opine on technical design, I want a technical person to opine on stories... because otherwise you kill the collaboration... If I had Silos between functions</t>
  </si>
  <si>
    <t>True collaboration requires a Venn diagram overlap of expertise, allowing team members to provide input on one another’s work.</t>
  </si>
  <si>
    <t>Teams with well-defined and differentiated roles are associated with an eventual collaboration</t>
  </si>
  <si>
    <t>States that well-defined roles cause individuals to disclaim responsibility for anything beyond their remit, limiting interactions to only when absolutely necessary.</t>
  </si>
  <si>
    <t>Teams where skills take precedence over roles are associated with eventual collaboration</t>
  </si>
  <si>
    <t>Teams where skills take precedence over roles are associated with high-quality collaboration</t>
  </si>
  <si>
    <t>"Es mejor mantener un equipo pequeño e ir a buscar cross-funcionalidad con más responsabilidad compartida que es típicamente el modelo T shape</t>
  </si>
  <si>
    <t>Manuel Pais argues that T-shaped or comb-shaped skillsets are better than isolated roles. By breaking down internal silos, this approach creates a more robust and effective collaborative environment.</t>
  </si>
  <si>
    <t>Teams with well-defined and differentiated roles are associated with a low-quality collaboration</t>
  </si>
  <si>
    <t>Teams where skills take precedence over roles are associated with low-quality collaboration</t>
  </si>
  <si>
    <t>A COLLABORATION-BASED CULTURE REQUIRES ALIGNMENT OF DEV &amp; OPS GOALS</t>
  </si>
  <si>
    <t xml:space="preserve">Teams aligned with product thinking are associated with daily collaboration </t>
  </si>
  <si>
    <t>"From the moment you have shared objectives and each one has to do their part, you have a real team... What we do together is greater than each of us alone."</t>
  </si>
  <si>
    <t>It reinforces that shared goals create a 'true team' that collaborates continuously, rather than individuals merely doing 'their part.'</t>
  </si>
  <si>
    <t xml:space="preserve">Teams aligned with local optimization are associated with eventual collaboration </t>
  </si>
  <si>
    <t xml:space="preserve">Teams aligned with product thinking are associated with eventual collaboration </t>
  </si>
  <si>
    <t>Teams aligned with product thinking are associated with high-quality collaboration.</t>
  </si>
  <si>
    <t>"...you have a real team and you can have a greater impact... No one can say 'Oh, I did my part, I delivered', and everyone needs to collaborate... instead of a group of individuals each doing their part."</t>
  </si>
  <si>
    <t>Goal alignment (Product Thinking) enhances the quality of collaboration. Alexandre highlights that this eliminates the 'I've done my part' mentality (low-quality collaboration), leading to a much greater impact.</t>
  </si>
  <si>
    <t>Teams aligned with local optimization are associated with low-quality collaboration</t>
  </si>
  <si>
    <t>"...a lo mejor los incentivos están mal porque esos incentivos están poniendo a los unos contra los otros [otimização local]."</t>
  </si>
  <si>
    <t>A TEAM CULTURE BASED ON METRICS/VISIBILITY/FEEDBACK ENABLES COLLABORATION</t>
  </si>
  <si>
    <t>Practitioners 1 and 2</t>
  </si>
  <si>
    <t>Practitioner 1: “We have metrics for throughput, response latency, and others that we not only track but also set as our targets. Our customers know they can rely on these. The metrics are monitored automatically, so we can quickly respond whenever something falls outside the expected range.”
Practitioner 2: “I think the first thing is recurrence—something like a retrospective. There needs to be a recurring moment where both teams exercise their autonomy. For example, if the operations team is spending too much time running this project when they shouldn’t be, that’s a problem. And the reverse is also true.”</t>
  </si>
  <si>
    <t>The accounts illustrate how metrics, visibility, and feedback shape collaboration between teams. The first highlights the use of metrics such as throughput and latency, which are automatically monitored and shared with customers. This creates a common foundation of visibility, enabling teams to react jointly to deviations. The second emphasizes the importance of recurring feedback, through processes similar to retrospectives, to continuously adjust how collaboration happens and to prevent imbalances in responsibility between development and operations. Together, these examples reinforce the proposition that “A team culture based on metrics/visibility/feedback enables collaboration,” showing that objective monitoring mechanisms and recurring reflection cycles act as concrete enablers of collaboration, fostering alignment, balance, and collective learning.</t>
  </si>
  <si>
    <t>Teams with a culture based on metrics/visibility/feedback are associated with daily collaboration.</t>
  </si>
  <si>
    <t>Teams with a culture based on metrics/visibility/feedback are associated with high-quality collaboration.</t>
  </si>
  <si>
    <t>Os dois comentários descrevem mecanismos que aumentam a qualidade da colaboração:
Métricas fornecem visibilidade objetiva -&gt; base para decisões conjuntas.
Feedback recorrente permite ajustes e equilíbrio -&gt; colaboração mais efetiva.</t>
  </si>
  <si>
    <t>RESPONSIBILITY/OWNERSHIP SHARING IS A PROPERTY OF CROSS-FUNCTIONALITY/SKILLS TEAMS</t>
  </si>
  <si>
    <t>Manoel and Practitioner 1</t>
  </si>
  <si>
    <t>Manoel interview: "...tenemos equipos más autónomos, con más responsabilidad compartida (end-to-end) y en los  que esperamos ver menos colaboración con otros equipos (menos dependencias). Porque lo  que estamos intentando hacer es un equipo más capaz de hacer todo el ciclo de vida completo. "
"equipos de producto (que nosotros los llamamos stream-aligned Team) que tienen ownership  end-to-end, y pueden hacer todo por ellos mismos y que tienen una misión clara"
"Podemos intentar tener equipos de productos que sean end-to-end y tengan responsabilidad compartida" 
- Dani coment: Valida, parcialmente, ya que une estos términos dando por hecho que tienen relación
"¿tú crees que para que un equipo sea stream-aligned (o equipo de  producto) y sea end-to-end debe tener responsabilidad compartida obligatoriamente? ¿Tu dirías que es una condición imprescindible?  
Respuesta (Manuel): 
A ver, yo creo que es lo ideal."
" en estos equipos cross-funcionales es inherente la responsabilidad compartida, pero hay que reducir la carga cognitiva. 
Respuesta (Manuel): 
Si"
Practitioner 1: "from the moment you have shared objectives and each one has to do their part, you have a real team and you can have a greater impact, achieve bigger goals"</t>
  </si>
  <si>
    <t>The interviews illustrate how metrics, visibility, and feedback shape collaboration between teams. The first highlights the use of metrics such as throughput and latency, which are automatically monitored and shared with customers. This creates a common foundation of visibility, enabling teams to react jointly to deviations. The second emphasizes the importance of recurring feedback, through processes similar to retrospectives, to continuously adjust how collaboration happens and to prevent imbalances in responsibility between development and operations. Together, these examples reinforce the proposition that “A team culture based on metrics/visibility/feedback enables collaboration,” showing that objective monitoring mechanisms and recurring reflection cycles act as concrete enablers of collaboration, fostering alignment, balance, and collective learning.</t>
  </si>
  <si>
    <t>Teams characterized by cross-functionality/skills are associated with full responsibility/ownership sharing.</t>
  </si>
  <si>
    <t>Manuel and Practitioner 1 comments suggest that cross-functional or stream-aligned teams tend to share end-to-end responsibility and have the autonomy to carry out the entire lifecycle.</t>
  </si>
  <si>
    <t>Teams not characterized by cross-functionality/skills are associated with full responsibility/ownership sharing.</t>
  </si>
  <si>
    <t>Teams characterized by cross-functionality/skills are associated with medium responsibility/ownership sharing.</t>
  </si>
  <si>
    <t>The comments emphasize the intention to achieve full responsibility/ownership sharing, not just medium.</t>
  </si>
  <si>
    <t>Teams not characterized by cross-functionality/skills are associated with medium responsibility/ownership sharing.</t>
  </si>
  <si>
    <t>Teams not characterized by cross-functionality/skills are associated with minimal or null responsibility/ownership sharing.</t>
  </si>
  <si>
    <t>The interviewees reinforce the idea that when a team is not cross-functional, it depends on other teams and cannot assume full ownership.</t>
  </si>
  <si>
    <t xml:space="preserve">RESPONSIBILITY/OWNERSHIP SHARING REDUCES ORGANIZATIONAL SILOS/CONFLICTS </t>
  </si>
  <si>
    <t>To reduce silos, it is essential to collaborate frequently in the early stages to ensure information sharing.
Paes interview: "el equipo de desarrollo no sabe o nunca visto cómo se crea un servidor o un servicio en cloud (porque hasta ahora eso  está dentro de un equipo de operaciones) y no tiene conocimiento de cómo hacer un deployment  o cómo saber si un deployment tiene éxito o no y no sabe qué se está monitorizando. Todo esto  está ocultado al equipo de desarrollo y no es visible para ellos. Entonces, sí, en este punto se necesita mucha colaboración."
Practitioner 1: "If they're closer in time zone, you can even do something a little better"
If there is no shared responsibility, conflicts arise.
"If I had Silos between functions, then it's just going to be fights, and then you're going to do what's going to end up scaling, and then you're going to have a VP of product fighting with a VP of engineering with another of operations; like, no, if it got up there, we're already lost"</t>
  </si>
  <si>
    <t>Paes highlights the practical consequences of lacking shared ownership (developers without knowledge of the full cycle, dependency on operations). 
Practitioner 1 explicitly states the organizational consequence: if each area only focuses on its own part, the result is conflict and power struggles. This supports the proposition, since both accounts indicate that sharing responsibilities is the path to reducing silos and conflicts.</t>
  </si>
  <si>
    <t xml:space="preserve"> Teams characterized by full responsibility/ownership sharing are associated with organizational silos.</t>
  </si>
  <si>
    <t>Both Paes and Practitioner 1 point out that the absence of shared responsibility is what creates barriers between functions and drives organizational conflicts.</t>
  </si>
  <si>
    <t>Teams characterized by medium responsibility/ownership sharing are associated with organizational silos.</t>
  </si>
  <si>
    <t>Teams characterized by minimal or null responsibility/ownership sharing are associated with organizational silos.</t>
  </si>
  <si>
    <t>Paes reports that developers without visibility into critical processes become dependent on another team, creating functional barriers. Practitioner 1 emphasizes that the lack of shared responsibility leads to conflicts between areas, indicating that minimal or absent responsibility is often associated with silos and organizational tensions.</t>
  </si>
  <si>
    <t>RESPONSIBILITY/OWNERSHIP SHARING IS A PROPERTY OF ORGANIZATIONAL STRUCTURES THAT RELY ON AN ENABLER (PLATFORM) TEAM. THE EXISTENCE OF PLATFORM TEAMS DOES NOT LEAD TO A SEPARATION OF RESPONSIBILITIES BUT RATHER THEY BECOME FACILITATORS AND MAKE OWNERSHIP SHARING POSSIBLE, UNLIKE DEV OPS (BRIDGE) TEAMS THAT BECOME NEW SILOS WITH THEIR OWN RESPONSIBILITIES (E.G., DEPLOYMENT, MONITORING, ETC.)</t>
  </si>
  <si>
    <t>refute</t>
  </si>
  <si>
    <t>Manoel Paes and practitioner 2</t>
  </si>
  <si>
    <t>Paes interview: "En teoría, estos  equipos pueden hacer todo por sí mismos, pero esto no es factible desde el punto de vista de  carga cognitiva, de tamaño de equipos, etc. Además, muchos equipos no tienen el conocimiento  necesario. Entonces, por esto viene Team Topologies y plantea la necesidad de equipos de  enabling y un servicio de plataforma que tiene que ser construidos de manera que realmente  reduzca, y no incremente, la carga cognitiva".
"...un equipo stream aligned por sí mismo no pueden sobrevivir, en el sentido que la carga  cognitiva es muy alta y por esto necesitan que los equipos de plataforma y enabling les ayuden  a reducir la carga cognitiva, para que puedan abstraerse de hacer ciertas cosas."</t>
  </si>
  <si>
    <t>Paes indicates that stream-aligned teams face practical limitations in taking full end-to-end responsibility, due to cognitive load and the lack of specialized knowledge. In this context, platform or enabling teams act as facilitators: they do not assume isolated responsibilities that would create new silos, but instead enable core teams to share ownership effectively by abstracting part of the operational complexity.</t>
  </si>
  <si>
    <t xml:space="preserve">Full responsibility/ownership sharing are associated with organizational structures that rely on an enabler (platform) team. </t>
  </si>
  <si>
    <t>Medium responsibility/ownership sharing are associated with organizational structures that rely on an enabler (platform) team.</t>
  </si>
  <si>
    <t>RESPONSIBILITY/OWNERSHIP SHARING IS A PROPERTY OF TEAM SELF-ORGANIZATION AUTONOMY</t>
  </si>
  <si>
    <t>Manoel Paes</t>
  </si>
  <si>
    <t xml:space="preserve">Manoel interview:  "Un equipo autónomo tiene que compartir más responsabilidad dentro del  equipo, incluso la definición de producto y la definición de valor al cliente."  
"...tenemos equipos más autónomos, con más responsabilidad compartida (end-to-end) y en los  que esperamos ver menos colaboración con otros equipos (menos dependencias). Porque lo  que estamos intentando hacer es un equipo más capaz de hacer todo el ciclo de vida completo. "
"equipos de producto (que nosotros los llamamos stream-aligned Team) que tienen ownership  end-to-end, y pueden hacer todo por ellos mismos y que tienen una misión clara"
"Podemos intentar tener equipos de productos que sean end-to-end y tengan responsabilidad compartida" - Dani coment: Valida, parcialmente, ya que une estos términos dando por hecho que tienen relación
"¿tú crees que para que un equipo sea stream-aligned (o equipo de  producto) y sea end-to-end debe tener responsabilidad compartida obligatoriamente? ¿Tu dirías que es una condición imprescindible?  
Respuesta (Manuel): 
A ver, yo creo que es lo ideal."
Manoel agrees but also points out that there are other aspects to consider. Silos can actually be a good thing. A silo means that the team is well-defined and focused on solving its own tasks without needing to coordinate or adjust with other teams at that moment.
Manoel interview: "Hay gente que dice que esto al final es un silo (que es lo que al principio decíamos que era un  problema cuando empezamos con DevOps). Yo digo que sí es un silo, pero es un silo distinto  que tiene valor. Con este tipo de silo a nivel de producto estamos diciendo que este equipo tiene  un enfoque muy claro en un producto o en una parte de un producto." </t>
  </si>
  <si>
    <t>For Manoel Paes, responsibility/ownership sharing is a characteristic strongly associated with self-organization autonomy, especially in stream-aligned, end-to-end teams. 
Yet, Manoel’s comments suggest it should be treated as an ideal and common attribute, rather than an absolute and universal property.</t>
  </si>
  <si>
    <t>Teams characterized by self-organization autonomy are associated with full responsibility/ownership sharing.</t>
  </si>
  <si>
    <t>Manoel emphasizes that autonomous teams must share more responsibility within the team. He describes stream-aligned teams as end-to-end and owning their work. This means they share full responsibility and ownership, covering the entire lifecycle across technical, product, and value delivery areas. When asked if responsibility sharing is mandatory, his statement, “yo creo que es lo ideal,” suggests that full sharing is considered the ideal for autonomous teams.</t>
  </si>
  <si>
    <t>Teams characterized by self-organization autonomy are associated with medium responsibility/ownership sharing.</t>
  </si>
  <si>
    <t>A TEAM CULTURE BASED ON RESPONSIBILITY/OWNERSHIP SHARING ENABLES COMMUNICATION</t>
  </si>
  <si>
    <t>Practitioner 1</t>
  </si>
  <si>
    <t>Practitioner 1: "from the moment you value collaboration a lot, you will make the teams talk to their neighbors and want to share responsibility for something bigger."</t>
  </si>
  <si>
    <t>Practitioner 1 suggests that a sharing culture not only strengthens the sense of common mission but also creates the need for constant communication. However, the validation is partial because it focuses on collaboration as the main driver, without clarifying whether communication is an exclusive consequence of sharing or also influenced by other cultural factors.</t>
  </si>
  <si>
    <t>Teams characterized by full responsibility/ownership sharing are associated with frequent communication.</t>
  </si>
  <si>
    <t>This aligns well with the full-sharing scenario, where teams assume broad responsibility and must communicate to coordinate their deliveries.</t>
  </si>
  <si>
    <t xml:space="preserve">Teams characterized by medium responsibility/ownership sharing are associated with poor/rare communication. </t>
  </si>
  <si>
    <t>Teams characterized by medium responsibility/ownership sharing are associated with frequent communication.</t>
  </si>
  <si>
    <t xml:space="preserve">Teams characterized by minimal or null responsibility/ownership sharing are associated with poor/rare communication.
</t>
  </si>
  <si>
    <t>Without valuing collaboration and sharing responsibility, there would be no incentive to engage with neighboring teams.</t>
  </si>
  <si>
    <t>RESPONSIBILITY/OWNERSHIP SHARING IS ASSOCIATED WITH THE TRANSFER OF WORK BETWEEN TEAMS. IF THERE IS NO SHARED RESPONSIBILITY, THERE IS NECESSARILY A TRANSFER OF WORK BETWEEN DEVELOPMENT TO PRODUCTION AND OPERATION TEAMS (AND VICE VERSA)</t>
  </si>
  <si>
    <t>Manoel Paes and Practitioner 2</t>
  </si>
  <si>
    <t>Paes interview: "Tenemos que crear una infraestructura, una base de  datos, por ejemplo, y para ello el equipo de desarrollo crea un ticket. El equipo de operaciones entonces va con ellos y lo hacen juntos. Este es un tipo de colaboración/facilitación, está entre  medias. Cuando hacemos esto no es solo para crear la base de datos, sino para que el equipo  de desarrollo entienda cómo funciona el proceso, qué tipo de herramientas se usan, etc."
Practitioner 2: "Isaque Alves: Understood. So, would you say that when there isn't this sharing of responsibility, there's this transfer of tasks between teams?
Interviewee: Yes, undoubtedly. We talk about responsibility, but it's work, it's the work of keeping it running. It might be well done, never have a problem, but you're attentive, monitoring, you're responsible for it. And, of course, depending on how well it's done, the responsibility can be lighter or heavier."</t>
  </si>
  <si>
    <t>Paes describes a situation that involves collaboration and cross-learning.
Practitioner 2 confirms that when there is no sharing of responsibility, there is a transfer of tasks between teams.</t>
  </si>
  <si>
    <t>Teams characterized by full responsibility/ownership sharing are associated with the absence of work transfer between teams.</t>
  </si>
  <si>
    <t>Teams characterized by medium responsibility/ownership sharing are associated with the absence of work transfer between teams.</t>
  </si>
  <si>
    <t>Teams characterized by minimal or null responsibility/ownership sharing are associated with the presence of work transfer between teams.</t>
  </si>
  <si>
    <t>Practitioner 2 states that when there is no shared responsibility, tasks are simply handed off.</t>
  </si>
  <si>
    <t>The absence of work transfer between teams is associated with teams characterized by full responsibility/ownership sharing.</t>
  </si>
  <si>
    <t>inverse of H14.1</t>
  </si>
  <si>
    <t>The absence of work transfer between teams is associated with teams characterized by medium responsibility/ownership sharing.</t>
  </si>
  <si>
    <t>The presence of work transfer between teams is associated with teams characterized by minimal or null responsibility/ownership sharing.</t>
  </si>
  <si>
    <t>inverse of H14.3</t>
  </si>
  <si>
    <t>P19. CROSS-FUNCTIONALITY/SKILLS REDUCES ORGANIZATIONAL SILOS/CONFLICTS</t>
  </si>
  <si>
    <t>Teams characterized by cross-functionality/skills are associated with fewer organizational silos.</t>
  </si>
  <si>
    <t>S2, S4</t>
  </si>
  <si>
    <t>"If I had Silos between functions, then it's just going to have friction... and then you're going to have a VP of product fighting with a VP of engineering... So, I think it's important to have a multidisciplinary team... to establish these trust relationships."
"Hay gente que dice que esto al final es un silo... Yo digo que sí es un silo, pero es un silo distinto que tiene valor... estamos diciendo que este equipo tiene un enfoque muy claro en un producto... Y es verdad que este equipo tienen menos conocimiento de lo que pasa en otros equipos, pero esto lo hacemos aposta."</t>
  </si>
  <si>
    <t>Alexandre associa explicitamente a falta de multidisciplinaridade (silos entre funções) a "lutas" e conflitos. A presença de skills variados no mesmo time cria laços de confiança e reduz esse atrito organizacional.
Manuel Pais refina o conceito: a multidisciplinaridade elimina o silo funcional (barreira de handoff), mas cria intencionalmente um "silo de produto" (foco e autonomia), que ele considera positivo pois reduz dependências externas.</t>
  </si>
  <si>
    <t>Teams not characterized by cross-functionality/skills are associated with the presence of organizational silos.</t>
  </si>
  <si>
    <t>IF A TEAM IS CHARACTERIZED BY CROSS-FUNCTIONALITY/SKILLS THIS WILL INCREASE AUTOMATED APPLICATION LIFE-CYCLE MANAGEMENT</t>
  </si>
  <si>
    <t>Teams characterized by cross-functionality/skills are associated with the use of automated application life-cycle management.</t>
  </si>
  <si>
    <t>"...do you believe that this multidisciplinary perspective of the team can lead to the automation of the software lifecycle? / Interviewee: Yes, exactly. Multidisciplinarity is crucial... Because automation comes from experience... Both life experience and diversity... Even if we're talking about people who automate things. And another person who automates in the backend..."</t>
  </si>
  <si>
    <t>A automação nasce da experiência combinada e da diversidade. Ele argumenta que ter pessoas com diferentes skills (ex: alguém focado em infraestrutura junto com alguém de backend) no mesmo time permite identificar oportunidades de automação ("sensitivity of realizing that this is being very manual" ) que seriam perdidas em times isolados. Ele cita exemplos práticos de troca de conhecimento gerando automações (ex: git hooks)</t>
  </si>
  <si>
    <t>ORGANIZATIONAL SILOS/CONFLICTS MAKE THE ADOPTION OF AN AUTOMATED APPLICATION LIFE-CYCLE MANAGEMENT DIFFICULT</t>
  </si>
  <si>
    <t>Paes says that it ‘makes things very difficult because instead of automating it, each silo tries to do it within its own silo,’ indicating that each silo acts in isolation, consuming time and effort, which slows down the automation process. However, this can be useful when the automation involves more than one team; if it’s internal, it doesn’t interfere with their work.</t>
  </si>
  <si>
    <t>The presence of organizational silos/conflicts is associated with difficulty in adopting automated application life-cycle management.</t>
  </si>
  <si>
    <t>METRICS, VISIBILITY &amp; FEEDBACK ENABLES AUTOMATED APPLICATION LIFE-CYCLE MANAGEMENT</t>
  </si>
  <si>
    <t>S2, S3</t>
  </si>
  <si>
    <t>S1: "I believe you can't simply blindly trust automation, and metrics are like the pulse that determines if things are working or not. We have feedback from this process, and human supervision is important."
"So, metrics are essential for us to know if things are working as expected, and we have alerts to notify us when something isn't going well."
"As we're a platform team, some metrics are very important to us, as we sign contracts with our customers, such as Service Level Objectives (SLO)"
Practitioner 2: "Isaque Alves: So in your opinion, metrics and having this visualization of this information ends up helping.
Interviewee: yes
Isaque Alves: Maintaining this automation
Interviewee: Perfect, exactly. The more indicators of quality, agility, and fluidity of all these processes"</t>
  </si>
  <si>
    <t>S2 demonstrates that metrics are crucial for monitoring and validating automation, highlighting the importance of feedback and visibility in enabling the supervision and adjustment of automated processes.
S3 highlights that visualizing metrics helps maintain automation, linking indicators of quality, agility, and process flow to the automated workflows.</t>
  </si>
  <si>
    <t>Teams characterized by metrics, visibility, and feedback are associated with the adoption of automated application life-cycle management.</t>
  </si>
  <si>
    <t>AUTOMATED APPLICATION LIFE-CYCLE MANAGEMENT ENABLES SKILLS/KNOWLEDGE SHARING</t>
  </si>
  <si>
    <t>S2</t>
  </si>
  <si>
    <t xml:space="preserve">Do you think that by automating and focusing efforts on this, it will help me share knowledge between these two teams?
Interviewee: Yes, definitely. I would say that, as I gave my example, the limitation of the way I asked for permission to do it and even then it was, let's say, a half-baked transfer of knowledge. Because no one stopped to show me, I had to go and do some research and so on. And then thinking about the knowledge needed for all this to work and who holds it and what is the flow of knowledge that needs to exist, I understand that there is knowledge that is exclusive to development. Which is Dev, there is this knowledge of operations that belongs to the practitioner  who is exclusively operations and exclusively DevOps. It even involves the DevOps part because he is studying, just like the development team, the issues of developing the Framework and scalability in that sense. Between the application; on the other hand, the devops specialist is the one who can innovate, right, in this area of ​​infrastructure. He is the one who is concerned with trends, he is the one who is studying new infrastructure tools, in short, organization and automation, and I think that DevOps is a meeting. </t>
  </si>
  <si>
    <t>...Do you think that by automating... it will help me share knowledge between these two teams? / Interviewee: Yes, definitely... I would say that, as I gave my example... Just giving the example of multidisciplinarity, how much his experience alone has already contributed to teaching me a lot of other things... everyone found out."</t>
  </si>
  <si>
    <t>P26</t>
  </si>
  <si>
    <t>P27</t>
  </si>
  <si>
    <t>ENABLER (PLATFORM) TEAMS PROVIDE AUTOMATED APPLICATION LIFE-CYCLE MANAGEMENT</t>
  </si>
  <si>
    <t>Practitioner 2: "Airflow, I see a lot of this team, the Central team that maintains Airflow for the data science teams in corporations. So this team is responsible for maintaining the Airflow infrastructure and the various Airflow instances running, but the teams that only use it don't need to worry. For them, it's peace of mind. Platform as a service and there's the Central team that does this."</t>
  </si>
  <si>
    <t>Directly validates the proposition by illustrating a practical case.</t>
  </si>
  <si>
    <t>Teams characterized as enabler (platform) teams are associated with providing automated application life-cycle management platform services.</t>
  </si>
  <si>
    <t>refuta</t>
  </si>
  <si>
    <t>A colaboração eventual ou a colaboração baixa não está associada à redução de silos, mas sim à existência de silos organizacionais.</t>
  </si>
  <si>
    <t>aqui cabe ajustar a hipotese, pra dizer que vai ter silos. mas a proposicao verifica que a colaboraçao reduz silos. mas as hipoteses n precisam.</t>
  </si>
  <si>
    <t>Leite</t>
  </si>
  <si>
    <t>O ALM, que engloba práticas como CI/CD, Git e monitoramento contínuo , atua como um forte facilitador da colaboração e da comunicação, pois fornece contexto e mais respostas de forma registrada , permitindo que as equipes se envolvam em interações mais pontuais e com maior insumo. Contudo, a via inversa, que sugere que a Colaboração automaticamente impacta e leva ao ALM, é vista com ressalvas pelo especialista, que a classifica como uma condição necessária, mas não suficiente ; embora a colaboração possa ter precedido a automação no histórico do DevOps , sua existência não garante que inovações de automação brotem se o mindset não for favorável. Para que o ALM promova a colaboração de forma eficaz, a transparência e a visibilidade das ferramentas automatizadas para ambas as partes interligadas são elementos cruciais .</t>
  </si>
  <si>
    <t xml:space="preserve">Teams using automated application life-cycle management are associated with daily collaboration </t>
  </si>
  <si>
    <t>Concorda que o ALM facilita a colaboração, mas sugere que as ferramentas automatizadas fornecem tanto insumos que os times conseguem mais respostas sem precisar interagir (ligar) com a outra pessoa. Isso implica que o ALM pode reduzir a necessidade de comunicação diária (frequência alta), tornando-a mais pontual.</t>
  </si>
  <si>
    <t>Aqui, o Leite se referia ao que entendemos por comunicação.  Logo ele concorda que para a colaboraç˜åo é importante, mas isso pode ser positivo reduzindo a comunicação, uma vez que agora tem um painel com as informações que eles poderiam solicitar.</t>
  </si>
  <si>
    <t>H3.1’</t>
  </si>
  <si>
    <t xml:space="preserve">Teams with daily collaboration are associated with automated application life-cycle management </t>
  </si>
  <si>
    <t>Ele afirma que a colaboração é uma condição necessária, mas não uma condição suficiente para o desenvolvimento das automações</t>
  </si>
  <si>
    <t>Logo, observamos que valida, pois a associação que descrevemos não é restritiva. Entendemos que outros fatores também contribuem para criar automações do ciclo de vida</t>
  </si>
  <si>
    <t>Teams using automated application life-cycle management are associated with high collaboration</t>
  </si>
  <si>
    <t>Apoia a ideia de que o ALM facilita a colaboração e, ao permitir que os times obtenham mais contexto prévio, torna as interações remanescentes (as colaborações e a comunicação) mais ricas e com mais insumos para direcionamento.</t>
  </si>
  <si>
    <t>H3.3’</t>
  </si>
  <si>
    <t xml:space="preserve">Teams with high collaboration are associated with automated application life-cycle management </t>
  </si>
  <si>
    <t>Ele enxerga que a colaboração foi uma condição necessária para que as ferramentas se desenvolvessem, mas não que ela tenha causado o ALM. O que está alinhado com o nosso entendimento de que é um dos fatores que favorecem a automação.</t>
  </si>
  <si>
    <t xml:space="preserve">H3.5 </t>
  </si>
  <si>
    <t>Teams using automated application life-cycle management are associated with median collaboration</t>
  </si>
  <si>
    <t>Esta hipótese é plausível se a “média" se refere à frequência (nem diária, nem eventual/rara). Como o ALM reduz a necessidade de interações constantes (diárias)  e garante que elas ocorram apenas quando necessárias, a frequência resultante pode ser classificada como média/pontual.</t>
  </si>
  <si>
    <t xml:space="preserve">H3.5’ </t>
  </si>
  <si>
    <t xml:space="preserve">Teams with median collaboration are associated with automated application life-cycle management </t>
  </si>
  <si>
    <t xml:space="preserve">IF A TEAM IS CHARACTERIZED BY CROSS-FUNCTIONALITY/SKILLS THIS WILL INCREASE COLLABORATION </t>
  </si>
  <si>
    <t>Multidisciplinary/poly-skilled teams (i.e., teams with all the necessary skills such as development, infrastructure, etc.) are associated with a daily collaboration with other teams</t>
  </si>
  <si>
    <t>Multidisciplinary/poly-skilled teams (i.e., teams with all the necessary skills such as development, infrastructure, etc.) are associated with an eventual collaboration with other teams</t>
  </si>
  <si>
    <t>Multidisciplinary/poly-skilled teams (i.e., teams with all the necessary skills such as development, infrastructure, etc.) are associated with a high collaboration with other teams</t>
  </si>
  <si>
    <t>Multidisciplinary/poly-skilled teams (i.e., teams with all the necessary skills such as development, infrastructure, etc.) are associated with a low collaboration with other teams</t>
  </si>
  <si>
    <t>H5.5</t>
  </si>
  <si>
    <t>Multidisciplinary/poly-skilled teams (i.e., teams with all the necessary skills such as development, infrastructure, etc.) are associated with a medium collaboration with other teams</t>
  </si>
  <si>
    <t>Teams with well-defined and differentiated roles are associated with a eventual collaboration</t>
  </si>
  <si>
    <t>Teams aligned with product thinking are associated with daily collaboration</t>
  </si>
  <si>
    <t>Teams aligned with local optimization are associated with eventual collaboration</t>
  </si>
  <si>
    <t>"Eles têm uma colaboração assim, a frequência é baixa... mas é uma frequência que está lá, firme [eventual/persistente]. Cada vez que eu vou fazer um deploy, eu preciso de alguma coisa... Não vou estar falando todo dia..."</t>
  </si>
  <si>
    <t>A "otimização local" é descrita pelos entrevistados como o cenário de silos. Léo descreve a frequência como "baixa" e pontual (apenas quando precisa de deploy).</t>
  </si>
  <si>
    <t>Teams aligned with product thinking are associated with eventual collaboration</t>
  </si>
  <si>
    <t>Teams aligned with product thinking are associated with high-quality collaboration</t>
  </si>
  <si>
    <t>ask again</t>
  </si>
  <si>
    <t>refutada</t>
  </si>
  <si>
    <t>times caracterizados por muito compartilhamento de responsabilidade e ownership, eles estão associados com silos organizacionais. Tem como fazer essa associação?
Entrevistado (Leo):Não. Porque o silo, ele estaria associado com, ter pouco compartilhamento.</t>
  </si>
  <si>
    <t>AUTOMATED INFRASTRUCTURE MANAGEMENT ENABLES RESPONSIBILITY/OWNERSHIP SHARING</t>
  </si>
  <si>
    <t>Sim, ajuda a promover. A automação torna o processo transparente para ambos os lados. Sem ela, a informação sobre o que foi feito fica em documentos ou planilhas que podem ficar desatualizados, empobrecendo o compartilhamento. No entanto, a ajuda não é tão forte, e se o time de desenvolvimento não tiver interesse em ver a automação, ela não adianta.</t>
  </si>
  <si>
    <t>Teams relying on automated infrastructure management are associated with full responsibility/ownership sharing</t>
  </si>
  <si>
    <t>discute mas nao valida</t>
  </si>
  <si>
    <r>
      <rPr>
        <rFont val="Arial"/>
        <color theme="1"/>
      </rPr>
      <t xml:space="preserve">Leite afirma que, mesmo com a automação e a transparência no centro (o que ajudaria), o compartilhamento de responsabilidade ainda depende de outras coisas também. Por exemplo, se o pessoal do desenvolvimento não tiver interesse em ver a automação e preferir apenas continuar pedindo o serviço, o compartilhamento total não se concretiza. Portanto, a automação é um </t>
    </r>
    <r>
      <rPr>
        <rFont val="Arial"/>
        <b/>
        <color theme="1"/>
      </rPr>
      <t>habilitador</t>
    </r>
    <r>
      <rPr>
        <rFont val="Arial"/>
        <color theme="1"/>
      </rPr>
      <t>, mas não garante a adoção do compartilhamento total, que exige uma mudança de mindset</t>
    </r>
  </si>
  <si>
    <t>Propor ajustes nessa hipotese</t>
  </si>
  <si>
    <t>Teams relying on automated infrastructure management are associated with medium responsibility/ownership sharing.</t>
  </si>
  <si>
    <t>Leite afirma que a automação ajuda, mas não é uma ajuda tão forte, e que o compartilhamento de responsabilidade depende de outras coisas também.</t>
  </si>
  <si>
    <t>Isso sugere que a associação mais provável é a um nível intermediário de compartilhamento (médio), onde a ferramenta facilita, mas o compartilhamento total é limitado por barreiras culturais ou de interesse do time</t>
  </si>
  <si>
    <t>AUTOMATED APPLICATION LIFE-CYCLE MANAGEMENT ENABLES RESPONSIBILITY/OWNERSHIP SHARING</t>
  </si>
  <si>
    <t>Sim, facilita. Segue a mesma lógica da P15, a automação facilita o compartilhamento de responsabilidade.</t>
  </si>
  <si>
    <t>Teams relying on automated application life-cycle management are associated with full responsibility/ownership sharing</t>
  </si>
  <si>
    <t>Indica que a automação ajuda, mas "não é uma ajuda tão forte" e "depende de outras coisas também". O compartilhamento total é limitado pela vontade e pelo mindset do time: "o pessoal do desenvolvimento não interessa, eles não querem ver, que é só continuar pedindo". Portanto, o ALM é um habilitador de transparência, mas não garante a adoção cultural total.</t>
  </si>
  <si>
    <t>Teams relying on automated application life-cycle management are associated with medium responsibility/ownership sharing</t>
  </si>
  <si>
    <t>Esta hipótese é mais consistente com a visão do entrevistado. Ao afirmar que o ALM ajuda (promove a transparência) , mas que essa ajuda não é "tão forte"  e que o compartilhamento depende de fatores adicionais, ele sugere um nível de associação intermediário (médio). O ALM remove as barreiras de informação e empobrecimento, mas não a barreira cultural, levando a um compartilhamento parcial ou médio.</t>
  </si>
  <si>
    <t xml:space="preserve">SKILLS/KNOWLEDGE SHARING IS A PROPERTY OF TEAMS CHARACTERIZED BY CROSS- FUNCTIONALITY/SKILLS </t>
  </si>
  <si>
    <t>Teams characterized by cross-functionality/skills are associated with full skills/knowledge sharing</t>
  </si>
  <si>
    <t>Teams characterized by cross-functionality/skills are associated with medium skills/knowledge sharing</t>
  </si>
  <si>
    <t xml:space="preserve">Teams characterized by cross-functionality/skills are associated with minimal or null skills/knowledge sharing. 
</t>
  </si>
  <si>
    <t>CROSS-FUNCTIONALITY/SKILLS IS A PROPERTY OF ENABLER (PLATFORM) TEAM</t>
  </si>
  <si>
    <t>Argumenta que a plataforma deve ser vista como um produto; e, assim como qualquer produto, precisa ser desenvolvido, operado e gerenciado, demandando uma variedade de funções e habilidades (UX, banco, desenvolvimento) dentro da equipe.
"Você diria que os times Enabler (plataforma) também são caracterizados por serem times cross-funcionais?" Entrevistado (Leo): “Sim, sim, faz sentido. Porque é aquela coisa: a plataforma é um produto. Você precisa desenvolver, operar e gerenciar. Precisa ter UX, precisa ter banco. Então, faz sentido, sim.”</t>
  </si>
  <si>
    <t>Teams characterized as enabler (platform) teams are associated with being cross-functional</t>
  </si>
  <si>
    <t>CROSS-FUNCTIONALITY/SKILLS REDUCES ORGANIZATIONAL SILOS/CONFLICTS</t>
  </si>
  <si>
    <t>Teams characterized by cross-functionality/skills are associated with fewer organizational silos</t>
  </si>
  <si>
    <t>Teams not characterized by cross-functionality/skills are associated with the presence of organizational silos</t>
  </si>
  <si>
    <t>The presence of organizational silos/conflicts is associated with difficulty in adopting automated application life-cycle management</t>
  </si>
  <si>
    <t>Teams relying on automated application life-cycle management are associated with full skills/knowledge sharing.</t>
  </si>
  <si>
    <t>"Se você não tem essa automação... como que o outro vai saber que fez? ... Se não tem uma coisa automatizada... vai ter que botar isso num documento... e eventualmente, vai esquecer... e isso vai empobrecer aí a colaboração. ... Mas acho que a tendência é que é, sim, que uma coisa acabe ajudando, promovendo a outra, sim."</t>
  </si>
  <si>
    <t>ENABLER (PLATFORM) TEAM ENABLES TEAM SELF-ORGANIZATION &amp; AUTONOMY</t>
  </si>
  <si>
    <t>S4</t>
  </si>
  <si>
    <t>Teams supported by an enabler (platform) team are associated with self-organization and autonomy</t>
  </si>
  <si>
    <t>Esta associação é inerente à própria definição do Enabler Team. As atividades que o Enabler Team desempenha — consulting, training, evangelization e prover a plataforma — têm como objetivo ajudar o outro time a ter autonomia . Portanto, se uma estrutura de time possui um Enabler Team, ele tem que promover a autonomia.
"Sim, mas um pouco assim, abusando da palavra tautológico, pela própria definição que está de Enabler Team aí. De você ter o consulting, training, evangelization, provê a plataforma. Então, todas essas coisas são sobre isso, ajudar o outro a ter autonomia. Então, até pela definição que está assim, tem que ser isso."</t>
  </si>
  <si>
    <t>ENABLER (PLATFORM) TEAM PROVIDES PLATFORM SERVICING</t>
  </si>
  <si>
    <t>Teams characterized as enabler (platform) teams are associated with providing Infrastructure as Code (IaC) platform services</t>
  </si>
  <si>
    <t>Essa concordância é demonstrada não apenas pela falta de objeção à definição, mas também por comentários que reforçam a associação e o propósito da plataforma.</t>
  </si>
  <si>
    <t>Teams characterized as enabler (platform) teams are associated with providing Application Life-Cycle Management (ALM) platform services</t>
  </si>
  <si>
    <t>Teams characterized as enabler (platform) teams are associated with providing automated infrastructure management platform services</t>
  </si>
  <si>
    <t>Teams characterized as enabler (platform) teams are associated with providing automated application life-cycle management platform services</t>
  </si>
  <si>
    <t>Platform Servicing reduce product team cognitive load</t>
  </si>
  <si>
    <t>Depende do ponto de partida. Se o time de produto já cuidava da infra antes, a plataforma reduz a carga. No entanto, se o time antes operava em silo (só codava e "jogava o pacote" para Ops), a plataforma pode até aumentar a carga cognitiva, pois eles terão que aprender a usar a plataforma e assumir mais responsabilidade. Entretanto, pelas definições apresentadas nessa teoria o time de produto é responsável por cuidar de todo o ciclo de vida do software</t>
  </si>
  <si>
    <t>The presençe of a platform servicing is associated with a high cognitive load on the product team</t>
  </si>
  <si>
    <t>A carga cognitiva pode aumentar (ou ser classificada como alta) no caso de equipes que operavam em silo (só desenvolviam e passavam a tarefa adiante). Nesses casos, a adoção da plataforma exige que o time de desenvolvimento aprenda a usá-la e assuma mais responsabilidade (o que antes era de Ops), o que pode levar a uma carga cognitiva mais alta. Mas como estamos lidando com times de produto essa hipotese é refutada</t>
  </si>
  <si>
    <t>The presençe of a platform servicing is associated with median/normal cognitive load on the product team</t>
  </si>
  <si>
    <t>valida</t>
  </si>
  <si>
    <t>A carga cognitiva é reduzida ou mais median se parte das responsabilidades do time de produto for ofereçida por uma plataforma</t>
  </si>
  <si>
    <t>The presençe of a platform servicing is associated with low cognitive load on the product team</t>
  </si>
  <si>
    <t>A carga cognitiva será reduzida (ou se tornará baixa) para equipes que já cuidavam da infraestrutura (como o Product Team). Nesses casos, a plataforma assume parte da tarefa (como colocar em produção e operar), e o time passa a ter que lidar com "menos informações ou menos contexto"</t>
  </si>
  <si>
    <t>A high-quality collaboration reduces dependency, increasing team autonomy</t>
  </si>
  <si>
    <t>A colaboração para diminuir a dependência é um tipo específico (automatizar um gargalo), mas não toda colaboração. O acoplamento pode se manter.</t>
  </si>
  <si>
    <t>A high quality collaboration focused on reducing dependency is associated with an increase in team autonomy.</t>
  </si>
  <si>
    <t>Ele concorda que a colaboração com o objetivo específico de automatizar um gargalo ou dependência (o que seria uma colaboração focada em reduzir a dependência, como proposto nas hipóteses) levaria à redução do acoplamento e, consequentemente, ao aumento da autonomia. A colaboração para diminuir a dependência é um tipo específico de colaboração, e é essa que valida as hipóteses H30.1 e H30.2.</t>
  </si>
  <si>
    <t>quotations</t>
  </si>
  <si>
    <t>O Igor contrasta o modelo antigo ("silos") onde há transferência de trabalho sem colaboração, com o modelo de Produto onde a responsabilidade é ponta-a-ponta.
Valida a premissa de que a responsabilidade compartilhada habilita a colaboração, mas impõe uma condicional estrutural forte. Ele refuta a ideia de que apenas estabelecer uma cultura ou metas compartilhadas ("falar que as metas deles são as mesmas" ) seja suficiente se os times estiverem fisicamente ou estruturalmente separados. A responsabilidade compartilhada que gera colaboração é consequência direta do Design Organizacional (formação de Product Teams).</t>
  </si>
  <si>
    <t>"Ele pode ter uma cultura de blame, onde eu faço a minha parte e depois que eu fiz a minha parte, tá tudo certo. [...] Não é um trabalho muito colaborativo."
"Ao criar times de produtos, incluindo times de negócio, desenvolvimento e infraestrutura, o nível de colaboração tem aumentado muito."</t>
  </si>
  <si>
    <t>A união de responsabilidades (Negócio + Dev + Infra no mesmo time) aumenta drasticamente o nível de colaboração (o que implica frequência, saindo de eventual para constante). No entanto, ele enfatiza que isso não acontece apenas por vontade cultural ("falar que as metas são as mesmas"), mas exige a "alteração do design organizacional"  para aproximar as pessoas.
Em "times de produto" (caracterizados por entendimento de ponta a ponta e responsabilidade compartilhada), a colaboração é mais frequente, enquanto em departamentos distintos (silos) ela é rara.</t>
  </si>
  <si>
    <t>"Somente mediante a alteração do design organizacional. Composição do time. [...] Ao criar times de produtos, incluindo times de negócio, desenvolvimento e infraestrutura, o nível de colaboração tem aumentado muito. É notável."</t>
  </si>
  <si>
    <t>A criação de times multidisciplinares (full sharing) remove as barreiras de departamentos diferentes que geram afastamento, elevando a qualidade da interação.</t>
  </si>
  <si>
    <t>"Entrevistador: ...eu consigo impactar tanto na frequência dessa colaboração quanto na qualidade dela também, então, né? / Entrevistado: Sim. Ao criar times de produtos... o nível de colaboração tem aumentado muito."</t>
  </si>
  <si>
    <t>Corrobora fortemente a visão de que os silos são definidos pela natureza da colaboração (ou falta dela). Ele associa silos a uma colaboração "protocolar", "ritualística" e "pobre", feita por meio de "tickets" e de transferência de trabalho ("jogar para o outro"), o que valida a relação inversa proposta.</t>
  </si>
  <si>
    <t>Concorda com a premissa de que os silos são caracterizados pela frequência eventual ("se eles não colaboram... cenário de silos"). Logicamente, ao promover uma colaboração que não seja eventual (ou seja, frequente/diária), reduz-se a característica definidora do silo.</t>
  </si>
  <si>
    <t>"Entrevistador: ...as estruturas de silos organizacionais, elas podem ser caracterizadas com uma frequência eventual... Se eles não colaboram, eu estou tateando, eu estou caminhando para um cenário de silos, né? / Entrevistado: Sim."</t>
  </si>
  <si>
    <t>Teams with eventual collaboration are associated with organizational silos.</t>
  </si>
  <si>
    <t>O entrevistado conecta explicitamente a falta de colaboração com a formação de silos e descreve a interação em silos como "protocolar" e "pobre".</t>
  </si>
  <si>
    <t>"Entrevistador: ...as estruturas de silos organizacionais, elas podem ser caracterizadas com uma frequência eventual... / Entrevistado: Sim. Ou a colaboração nesse caso, no caso de silos, ela ocorre de maneira protocolar e com processos muito bem definidos. Se existe uma colaboração protocolar e com processos muito bem definidos, ela é ritualística e pobre."</t>
  </si>
  <si>
    <t>Define a colaboração dentro de silos como "pobre". Portanto, a presença de uma colaboração de alta qualidade (o oposto de pobre/ritualística) está associada a um cenário de menos silos (ou a superação do cenário que ele diz "nós tivemos").</t>
  </si>
  <si>
    <t>"Entrevistado: Se existe uma colaboração protocolar e com processos muito bem definidos, ela é ritualística e pobre. [...] São os silos. Nós tivemos isso."</t>
  </si>
  <si>
    <t>H2.5</t>
  </si>
  <si>
    <t>Teams with median-quality collaboration are associated with fewer organizational silos.</t>
  </si>
  <si>
    <t>NAO DISCUTE</t>
  </si>
  <si>
    <t>Teams with low-quality collaboration are associated with organizational silos.</t>
  </si>
  <si>
    <t>Associa a colaboração "pobre" (baixa qualidade) e baseada em handoffs ("jogando para o outro") à existência de silos. Ele descreve esse cenário como o erro da engenharia de software clássica (Cascata/RUP) que cria silos.</t>
  </si>
  <si>
    <t>Valida a proposição geral de que o compartilhamento de conhecimento habilita a colaboração. No entanto, ele introduz uma nuance crítica: em ambientes regulados (bancos), o compartilhamento "Full" (total/irrestrito) é inviável por segurança. O modelo adotado é o de compartilhamento "Médio" ou "Gerenciado" (níveis de acesso), que gera uma colaboração de alta qualidade, porém muitas vezes eventual (baseada em permissões/pull requests) entre times distintos, apoiada por plataformas (IDP) e times facilitadores (Enabling Teams).</t>
  </si>
  <si>
    <t>Considerando que o acesso via IDP constitui "Full Sharing" (tudo o que é necessário está lá), isso habilita uma interação diária com a plataforma e com o conhecimento da organização. Além disso, a promoção de "meetups contínuos"  indica que o compartilhamento de conhecimento fomenta uma frequência diária ou constante de interação social e técnica, não sendo apenas esporádica.</t>
  </si>
  <si>
    <t>"O IDP tem todas as jornadas... é nele aonde tem as Wikis, as documentações e inteligência artificial... para ajudar a tirar dúvidas e orientar o desenvolvedor." "...as plataformas também, elas promovem guildas, meetups contínuos." "Nós temos mais de 120 mil repositórios no Git... e os times podem colaborar nos repositórios uns dos outros."</t>
  </si>
  <si>
    <t>O "Full Sharing" descrito (acesso organizado via IDP, curadoria, melhores práticas e IA) eleva a qualidade da colaboração. O desenvolvedor não recebe informações desconexas; ele recebe conhecimento curado ("technical writing", "roteiros"), o que garante uma colaboração assertiva e de alta qualidade, oposta à "pobre" dos silos.</t>
  </si>
  <si>
    <t>"...cuidam dessa parte de DevEx, Developer Experience... technical writing para escrever coisas e roteiros para auxílio do desenvolvedor, curadoria de chatbots de LLM para tirar dúvidas..." "...ajudar a tirar dúvidas e orientar o desenvolvedor."</t>
  </si>
  <si>
    <t>O relato mostra o oposto. O alto investimento em disponibilizar o conhecimento necessário ("Full Sharing" redefinido) visa justamente eliminar a baixa qualidade e a fricção no desenvolvimento.</t>
  </si>
  <si>
    <t>interpretada como interna</t>
  </si>
  <si>
    <t>validado, mas condicionado ao co-located</t>
  </si>
  <si>
    <t>Validado, mas condicionado ao co-located. Quando o time multidisciplinar (Dev+Infra+Negócio) está fisicamente junto ("prédio azul... trabalhando juntos"), a colaboração se torna diária, fluida e "íntima". A multidisciplinaridade permite isso, mas o co-location é o catalisador.</t>
  </si>
  <si>
    <t>"A maneira menos protocolar de ocorrer a interação, pessoas co-located, a mesma sala virando para o lado e falando, fulano, o que você acha disso...? Zero protocolo, é uma integração muito mais íntima."</t>
  </si>
  <si>
    <t>Isso é verdade no contexto do trabalho remoto. pois mesmo que haja uma troca, ela é limitada por esse fator, mas ela ainda existe e promove uma colaboração entre os membros. Mesmo em times multidisciplinares, o trabalho remoto pode levar a uma colaboração apenas "eventual" ("de vez em quando", "protocolar"), criando o que o entrevistador chamou de "mini silos".</t>
  </si>
  <si>
    <t>"...o trabalho remoto, ele deixa que as pessoas continuem com as suas rotinas... E o colega da outra disciplina, ele só é alguém que de vez em quando eu estou trocando mensagem... interação protocolar..."</t>
  </si>
  <si>
    <t>A "integração muito mais íntima" descrita no modelo presencial corresponde a uma alta colaboração. A união de perfis (cross-funcional) num mesmo espaço físico maximiza essa qualidade.</t>
  </si>
  <si>
    <t>"Zero protocolo, é uma integração muito mais íntima." "...estão aqui no centro de Brasília... trabalhando juntos para quem já está nesse modelo."</t>
  </si>
  <si>
    <t>Descreve o Product Thinking como um habilitador de uma integração "íntima" e constante ("real team"), o oposto de eventual. A colaboração eventual é a característica dos silos</t>
  </si>
  <si>
    <t>Confirma que em times integrados (multidisciplinares/atuando juntos), existe a tendência de compartilhar a responsabilidade completa, em que o desenvolvedor não olha apenas para o código, mas também para o sucesso do produto no mercado (market fit). Ele faz uma ressalva de que é um processo de mudança de hábito ("não é só colocar junto e já vira chave"), mas a associação do modelo é com esse compartilhamento total.</t>
  </si>
  <si>
    <t>"Já os times que estão integralmente atuando juntos, eles têm a tendência... A gente tem time que o time de desenvolvimento já começou a entender que é problema dele o market fit..."</t>
  </si>
  <si>
    <t>descreve que times nao multidisciplinares, que lidam somente com uma parte do problema, costumam estar em silos e nao sao multidisciplinares</t>
  </si>
  <si>
    <t>"quando ocorre um problema da aplicação em produção, a infraestrutura fala, você implementou errado, por isso que não escalou. Então, sim, esses times, eles tendem a olhar somente aquele pedaço e falar que a outra área gerou o problema e não se responsabilizam pelo todo."</t>
  </si>
  <si>
    <t>validado, mas como estado de transição</t>
  </si>
  <si>
    <t>Embora o objetivo e a tendência sejam o compartilhamento total (H9.1), o entrevistado admite que a simples criação do time multidisciplinar não garante imediatamente o full sharing. Alguns times permanecem em um estágio intermediário ("pequenos silos internos") durante a transição cultural. No entanto, conceitualmente, a associação forte é com a H9.1, sendo este estado "médio" visto como um degrau para alcançar a full responsibility...</t>
  </si>
  <si>
    <t>"...tem time que ainda está nesses pequenos silos internos. Foi colocado para trabalhar junto, só que a gente tem que fazer a gestão do processo de mudança de comportamento."</t>
  </si>
  <si>
    <t>A descrição dos times não multidisciplinares aponta para um compartilhamento mínimo ou nulo, baseado em handoffs estritos, e não para um nível médio de compartilhamento.</t>
  </si>
  <si>
    <t>Teams characterized by cross-functionality/skills are associated with minimal or null responsibility/ownership sharing</t>
  </si>
  <si>
    <t>A estrutura multidisciplinar é apresentada justamente como a solução para sair do cenário de responsabilidade nula ("transferência de trabalho") dos times clássicos.</t>
  </si>
  <si>
    <t>Corrobora a descrição do entrevistador de que, em times clássicos (não multidisciplinares), a responsabilidade é limitada ao silo ("minha parte"), caracterizando uma ausência de ownership compartilhado sobre o produto final.</t>
  </si>
  <si>
    <t>"A gente consegue observar esse senso de responsabilidade... No meu entendimento, é mais como transferência de trabalho. Fiz minha parte, agora vai para você. ... Tipo, se der alguma coisa errada... a culpa não é minha. / Entrevistado: Existe isso, sim... metade ainda está desse jeito, separado... e não se responsabilizam pelo todo."</t>
  </si>
  <si>
    <t>RESPONSIBILITY/OWNERSHIP SHARING IS A PROPERTY OF ORGANIZATIONAL STRUCTURES THAT RELY ON AN ENABLER (PLATFORM) TEAM. THE EXISTENCE OF PLATFORM TEAMS DOES NOT LEAD TO A SEPARATION OF RESPONSIBILITIES BUT RATHER THEY BECOME FACILITATORS AND MAKE OWNERSHIP SHARING POSSIBLE, UNLIKE DEV OPS (BRIDGE) TEAMS THAT BECOME NEW SILOS WITH THEIR OWN RESPONSIBILITIES (E.G., DEPLOYMENT, MONITORING, ETC.).</t>
  </si>
  <si>
    <t xml:space="preserve">aqui cabe uma duvida e discussão de que fica entranho imaginar que a plataforma é um enabler, mas ela foca no seu produto. </t>
  </si>
  <si>
    <t>A plataforma tem um produto que é a plataforma. E realmente a plataforma não vai ter o senso de propriedade para os produtos do banco... O senso compartilhado por um produto igual o CDC ele ocorre para os atores que estão ali dentro da linha de produto do CDC. A plataforma ela realmente não entra nisso."</t>
  </si>
  <si>
    <t>Associa os times que atuam integralmente juntos (que possuem a tendência de full sharing, conforme discutido na P9) a uma "integração muito mais íntima" e com "zero protocolo". Isso descreve um cenário de comunicação frequente e fluida.</t>
  </si>
  <si>
    <t>"A maneira menos protocolar de ocorrer a interação, pessoas co-located, a mesma sala virando para o lado e falando, fulano, o que você acha disso, não sei o que lá? Zero protocolo, é uma integração muito mais íntima."</t>
  </si>
  <si>
    <t>Valida que em estruturas de silos (onde a responsabilidade é transferida/limitada, ou seja, minimal sharing), a comunicação se torna "protocolar", "ritualística" e "pobre". O uso de tickets e a formalização excessiva substituem a comunicação frequente, tornando-a rara ou apenas reativa a problemas.</t>
  </si>
  <si>
    <t>"Ou a colaboração nesse caso, no caso de silos, ela ocorre de maneira protocolar e com processos muito bem definidos. Se existe uma colaboração protocolar e com processos muito bem definidos, ela é ritualística e pobre."</t>
  </si>
  <si>
    <t>Valida que a característica dos times multidisciplinares é romper a barreira da especialização isolada. O fato de o desenvolvedor passar a entender de "market fit" (uma habilidade de negócio) demonstra um compartilhamento profundo (full sharing) de domínios de conhecimento que antes eram segregados.</t>
  </si>
  <si>
    <t>validada como estado de transicao</t>
  </si>
  <si>
    <t>reconhece que apenas criar o time multidisciplinar não garante o compartilhamento total imediatamente, podendo gerar "pequenos silos internos" (o que configuraria um compartilhamento médio ou baixo). No entanto, ele trata isso como um estágio incompleto da transformação cultural ("processo de mudança de hábitos" ), e não como a propriedade desejada ou final desse tipo de time.</t>
  </si>
  <si>
    <t>Associa explicitamente o compartilhamento mínimo (ou a postura de "a culpa não é minha") aos times não multidisciplinares. A estrutura cross-funcional é apresentada justamente como a solução para este problema.</t>
  </si>
  <si>
    <t>Igor descreve isso como times em departamentos diferentes com metas conflitantes.</t>
  </si>
  <si>
    <t>"...não adianta eu ter um time de desenvolvimento e um outro time de operação... se eles estão em departamentos diferentes. ... Porque existem inúmeros mecanismos dentro da empresa que afastam times que são diferentes. ... São os silos. Nós tivemos isso."</t>
  </si>
  <si>
    <t>Teams relying on automated application life-cycle management are associated with medium skills/knowledge sharing.</t>
  </si>
  <si>
    <t>total hipoteses</t>
  </si>
  <si>
    <t>total validadas</t>
  </si>
  <si>
    <t>total refutadas</t>
  </si>
  <si>
    <t>total removidas</t>
  </si>
  <si>
    <t>TOTAL</t>
  </si>
  <si>
    <t>teste Leo (round 2)</t>
  </si>
  <si>
    <t>round 3</t>
  </si>
  <si>
    <t>PROPOSICAO</t>
  </si>
  <si>
    <t>GERAL</t>
  </si>
  <si>
    <t>REFINADA</t>
  </si>
  <si>
    <t>Enabler [Platform] team</t>
  </si>
  <si>
    <t>Bridge</t>
  </si>
  <si>
    <t>product team</t>
  </si>
  <si>
    <t>Dev &amp; Ops</t>
  </si>
  <si>
    <t>validadas</t>
  </si>
  <si>
    <t>refutadas</t>
  </si>
  <si>
    <t>adicionadas</t>
  </si>
  <si>
    <t>atualizado</t>
  </si>
  <si>
    <t>Plan</t>
  </si>
  <si>
    <t>refinadas</t>
  </si>
  <si>
    <t>removidas</t>
  </si>
  <si>
    <t>H2.2, H2, 4</t>
  </si>
  <si>
    <t>as duas refutadas foram refinadas</t>
  </si>
  <si>
    <t>H10.1 foi refutada duas vezes, logo ela pode ser excluida</t>
  </si>
  <si>
    <t>está no plano</t>
  </si>
  <si>
    <t>foi refutado</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</si>
</sst>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color theme="1"/>
      <name val="Arial"/>
      <scheme val="minor"/>
    </font>
    <font/>
    <font>
      <color theme="1"/>
      <name val="Arial"/>
    </font>
    <font>
      <sz val="12.0"/>
      <color rgb="FF000000"/>
      <name val="-webkit-standard"/>
    </font>
    <font>
      <sz val="12.0"/>
      <color rgb="FF000000"/>
      <name val="Arial"/>
      <scheme val="minor"/>
    </font>
    <font>
      <sz val="12.0"/>
      <color rgb="FF000000"/>
      <name val="Arial"/>
    </font>
  </fonts>
  <fills count="9">
    <fill>
      <patternFill patternType="none"/>
    </fill>
    <fill>
      <patternFill patternType="lightGray"/>
    </fill>
    <fill>
      <patternFill patternType="solid">
        <fgColor rgb="FF00FF00"/>
        <bgColor rgb="FF00FF00"/>
      </patternFill>
    </fill>
    <fill>
      <patternFill patternType="solid">
        <fgColor rgb="FFFFFF00"/>
        <bgColor rgb="FFFFFF00"/>
      </patternFill>
    </fill>
    <fill>
      <patternFill patternType="solid">
        <fgColor rgb="FFFF0000"/>
        <bgColor rgb="FFFF0000"/>
      </patternFill>
    </fill>
    <fill>
      <patternFill patternType="solid">
        <fgColor rgb="FF666666"/>
        <bgColor rgb="FF666666"/>
      </patternFill>
    </fill>
    <fill>
      <patternFill patternType="solid">
        <fgColor rgb="FFC9DAF8"/>
        <bgColor rgb="FFC9DAF8"/>
      </patternFill>
    </fill>
    <fill>
      <patternFill patternType="solid">
        <fgColor rgb="FFFFF2CC"/>
        <bgColor rgb="FFFFF2CC"/>
      </patternFill>
    </fill>
    <fill>
      <patternFill patternType="solid">
        <fgColor rgb="FF00FFFF"/>
        <bgColor rgb="FF00FFFF"/>
      </patternFill>
    </fill>
  </fills>
  <borders count="5">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s>
  <cellStyleXfs count="1">
    <xf borderId="0" fillId="0" fontId="0" numFmtId="0" applyAlignment="1" applyFont="1"/>
  </cellStyleXfs>
  <cellXfs count="43">
    <xf borderId="0" fillId="0" fontId="0" numFmtId="0" xfId="0" applyAlignment="1" applyFont="1">
      <alignment readingOrder="0" shrinkToFit="0" vertical="bottom" wrapText="0"/>
    </xf>
    <xf borderId="1" fillId="0" fontId="1" numFmtId="0" xfId="0" applyAlignment="1" applyBorder="1" applyFont="1">
      <alignment horizontal="center" readingOrder="0"/>
    </xf>
    <xf borderId="2" fillId="0" fontId="2" numFmtId="0" xfId="0" applyBorder="1" applyFont="1"/>
    <xf borderId="0" fillId="0" fontId="1" numFmtId="0" xfId="0" applyFont="1"/>
    <xf borderId="0" fillId="0" fontId="1" numFmtId="0" xfId="0" applyAlignment="1" applyFont="1">
      <alignment readingOrder="0"/>
    </xf>
    <xf borderId="3" fillId="0" fontId="1" numFmtId="0" xfId="0" applyAlignment="1" applyBorder="1" applyFont="1">
      <alignment readingOrder="0"/>
    </xf>
    <xf borderId="4" fillId="0" fontId="1" numFmtId="0" xfId="0" applyBorder="1" applyFont="1"/>
    <xf borderId="3" fillId="0" fontId="1" numFmtId="0" xfId="0" applyBorder="1" applyFont="1"/>
    <xf borderId="4" fillId="2" fontId="1" numFmtId="0" xfId="0" applyAlignment="1" applyBorder="1" applyFill="1" applyFont="1">
      <alignment readingOrder="0"/>
    </xf>
    <xf borderId="0" fillId="3" fontId="1" numFmtId="10" xfId="0" applyFill="1" applyFont="1" applyNumberFormat="1"/>
    <xf borderId="4" fillId="4" fontId="1" numFmtId="0" xfId="0" applyAlignment="1" applyBorder="1" applyFill="1" applyFont="1">
      <alignment readingOrder="0"/>
    </xf>
    <xf borderId="4" fillId="0" fontId="1" numFmtId="0" xfId="0" applyAlignment="1" applyBorder="1" applyFont="1">
      <alignment readingOrder="0"/>
    </xf>
    <xf borderId="3" fillId="3" fontId="1" numFmtId="0" xfId="0" applyBorder="1" applyFont="1"/>
    <xf borderId="4" fillId="3" fontId="1" numFmtId="0" xfId="0" applyBorder="1" applyFont="1"/>
    <xf borderId="0" fillId="3" fontId="1" numFmtId="0" xfId="0" applyAlignment="1" applyFont="1">
      <alignment readingOrder="0"/>
    </xf>
    <xf borderId="0" fillId="3" fontId="1" numFmtId="0" xfId="0" applyFont="1"/>
    <xf borderId="3" fillId="3" fontId="1" numFmtId="0" xfId="0" applyAlignment="1" applyBorder="1" applyFont="1">
      <alignment readingOrder="0"/>
    </xf>
    <xf borderId="3" fillId="0" fontId="3" numFmtId="0" xfId="0" applyAlignment="1" applyBorder="1" applyFont="1">
      <alignment vertical="bottom"/>
    </xf>
    <xf borderId="0" fillId="5" fontId="1" numFmtId="0" xfId="0" applyFill="1" applyFont="1"/>
    <xf borderId="3" fillId="5" fontId="1" numFmtId="0" xfId="0" applyBorder="1" applyFont="1"/>
    <xf borderId="4" fillId="5" fontId="1" numFmtId="0" xfId="0" applyBorder="1" applyFont="1"/>
    <xf borderId="4" fillId="0" fontId="1" numFmtId="10" xfId="0" applyBorder="1" applyFont="1" applyNumberFormat="1"/>
    <xf borderId="0" fillId="0" fontId="4" numFmtId="0" xfId="0" applyFont="1"/>
    <xf borderId="0" fillId="0" fontId="1" numFmtId="10" xfId="0" applyFont="1" applyNumberFormat="1"/>
    <xf borderId="0" fillId="0" fontId="1" numFmtId="0" xfId="0" applyAlignment="1" applyFont="1">
      <alignment readingOrder="0" shrinkToFit="0" vertical="top" wrapText="1"/>
    </xf>
    <xf borderId="0" fillId="0" fontId="1" numFmtId="0" xfId="0" applyAlignment="1" applyFont="1">
      <alignment shrinkToFit="0" vertical="top" wrapText="1"/>
    </xf>
    <xf borderId="0" fillId="2" fontId="1" numFmtId="0" xfId="0" applyAlignment="1" applyFont="1">
      <alignment readingOrder="0" shrinkToFit="0" vertical="top" wrapText="1"/>
    </xf>
    <xf borderId="0" fillId="4" fontId="1" numFmtId="0" xfId="0" applyAlignment="1" applyFont="1">
      <alignment readingOrder="0" shrinkToFit="0" vertical="top" wrapText="1"/>
    </xf>
    <xf borderId="0" fillId="0" fontId="5" numFmtId="0" xfId="0" applyAlignment="1" applyFont="1">
      <alignment readingOrder="0" shrinkToFit="0" vertical="top" wrapText="1"/>
    </xf>
    <xf borderId="0" fillId="0" fontId="6" numFmtId="0" xfId="0" applyAlignment="1" applyFont="1">
      <alignment readingOrder="0" shrinkToFit="0" vertical="top" wrapText="1"/>
    </xf>
    <xf borderId="0" fillId="3" fontId="1" numFmtId="0" xfId="0" applyAlignment="1" applyFont="1">
      <alignment readingOrder="0" shrinkToFit="0" vertical="top" wrapText="1"/>
    </xf>
    <xf borderId="0" fillId="0" fontId="1" numFmtId="0" xfId="0" applyAlignment="1" applyFont="1">
      <alignment readingOrder="0" shrinkToFit="0" vertical="top" wrapText="1"/>
    </xf>
    <xf borderId="0" fillId="0" fontId="6" numFmtId="0" xfId="0" applyAlignment="1" applyFont="1">
      <alignment readingOrder="0"/>
    </xf>
    <xf borderId="0" fillId="0" fontId="1" numFmtId="0" xfId="0" applyAlignment="1" applyFont="1">
      <alignment horizontal="center" readingOrder="0"/>
    </xf>
    <xf borderId="0" fillId="0" fontId="1" numFmtId="0" xfId="0" applyAlignment="1" applyFont="1">
      <alignment horizontal="center" readingOrder="0" shrinkToFit="0" wrapText="0"/>
    </xf>
    <xf borderId="0" fillId="6" fontId="1" numFmtId="0" xfId="0" applyAlignment="1" applyFill="1" applyFont="1">
      <alignment horizontal="center" readingOrder="0"/>
    </xf>
    <xf borderId="0" fillId="6" fontId="1" numFmtId="0" xfId="0" applyAlignment="1" applyFont="1">
      <alignment readingOrder="0"/>
    </xf>
    <xf borderId="0" fillId="7" fontId="1" numFmtId="0" xfId="0" applyAlignment="1" applyFill="1" applyFont="1">
      <alignment horizontal="center" readingOrder="0"/>
    </xf>
    <xf borderId="0" fillId="8" fontId="1" numFmtId="0" xfId="0" applyAlignment="1" applyFill="1" applyFont="1">
      <alignment readingOrder="0"/>
    </xf>
    <xf borderId="0" fillId="0" fontId="1" numFmtId="0" xfId="0" applyAlignment="1" applyFont="1">
      <alignment readingOrder="0" shrinkToFit="0" wrapText="0"/>
    </xf>
    <xf borderId="0" fillId="0" fontId="1" numFmtId="0" xfId="0" applyAlignment="1" applyFont="1">
      <alignment shrinkToFit="0" wrapText="0"/>
    </xf>
    <xf borderId="0" fillId="6" fontId="1" numFmtId="0" xfId="0" applyFont="1"/>
    <xf borderId="0" fillId="4"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ocumenttasks/documenttask5.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Isaque Alves" id="{1049ace8-bbd7-4b5c-aa9b-e63be19882cc}"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5-11-11T00:12:01.00" personId="{1049ace8-bbd7-4b5c-aa9b-e63be19882cc}" id="{49d1aa0a-1902-44d9-8469-126efa685294}" done="0">
    <x18tc:text xml:space="preserve">acho que essas hipoteses n fazem sentido, sendo removidas logo no início do processo</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53" dT="2025-08-19T18:15:40.00" personId="{1049ace8-bbd7-4b5c-aa9b-e63be19882cc}" id="{7434b854-2dab-4f76-b5e0-fb7624c1e4fc}" done="1">
    <x18tc:text xml:space="preserve">PEDIR AJUDA DA CARLA</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30" dT="2026-01-20T00:00:49.00" personId="{1049ace8-bbd7-4b5c-aa9b-e63be19882cc}" id="{e04a196c-87de-437c-bcf3-4f8271eb3a50}" done="1">
    <x18tc:text xml:space="preserve">rever isso aqui</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20" dT="2026-01-20T01:56:44.00" personId="{1049ace8-bbd7-4b5c-aa9b-e63be19882cc}" id="{09a9da0f-b6c8-4878-a470-9d55a71da701}" done="1">
    <x18tc:text xml:space="preserve">REAVALIAR</x18tc:text>
  </x18tc:threadedComment>
  <x18tc:threadedComment ref="A31" dT="2026-01-21T00:31:41.00" personId="{1049ace8-bbd7-4b5c-aa9b-e63be19882cc}" id="{7540b1ef-2acf-4bac-a870-0c553fdd3b0e}" done="0">
    <x18tc:text xml:space="preserve">No leo eu validei como se fosse colaboração externa, aqui estou validando como colaboração interna. verificar qual a correta e independente eu ja tenho a validação</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V18" dT="2026-01-21T02:12:06.00" personId="{1049ace8-bbd7-4b5c-aa9b-e63be19882cc}" id="{eedc45f7-53fb-4bc0-bf9e-89eed60afca7}" done="0">
    <x18tc:text xml:space="preserve">da pra remover a 9.2</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2.xml"/><Relationship Id="rId5"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3.xml"/><Relationship Id="rId5"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4.xml"/><Relationship Id="rId5"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drawing" Target="../drawings/drawing5.xml"/><Relationship Id="rId5"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6" max="6" width="14.88"/>
    <col customWidth="1" min="9" max="9" width="14.88"/>
  </cols>
  <sheetData>
    <row r="1">
      <c r="B1" s="1" t="s">
        <v>0</v>
      </c>
      <c r="C1" s="2"/>
      <c r="D1" s="1" t="s">
        <v>1</v>
      </c>
      <c r="E1" s="2"/>
      <c r="F1" s="1" t="s">
        <v>2</v>
      </c>
      <c r="G1" s="2"/>
      <c r="H1" s="3">
        <f>SUM(H2:H141)</f>
        <v>82</v>
      </c>
      <c r="I1" s="4" t="s">
        <v>3</v>
      </c>
      <c r="K1" s="3">
        <f t="shared" ref="K1:L1" si="1">SUM(K2:K141)</f>
        <v>54</v>
      </c>
      <c r="L1" s="3">
        <f t="shared" si="1"/>
        <v>7</v>
      </c>
      <c r="M1" s="3">
        <f>K1+L1</f>
        <v>61</v>
      </c>
    </row>
    <row r="2">
      <c r="A2" s="4" t="s">
        <v>4</v>
      </c>
      <c r="B2" s="5"/>
      <c r="C2" s="6"/>
      <c r="D2" s="7"/>
      <c r="E2" s="6"/>
      <c r="F2" s="7"/>
      <c r="G2" s="6"/>
      <c r="I2" s="7"/>
      <c r="J2" s="6"/>
      <c r="M2" s="3">
        <f>H1-(K1+L1)</f>
        <v>21</v>
      </c>
    </row>
    <row r="3">
      <c r="B3" s="5" t="s">
        <v>5</v>
      </c>
      <c r="C3" s="6"/>
      <c r="D3" s="5" t="s">
        <v>5</v>
      </c>
      <c r="E3" s="6"/>
      <c r="F3" s="5" t="s">
        <v>5</v>
      </c>
      <c r="G3" s="8" t="s">
        <v>6</v>
      </c>
      <c r="H3" s="4">
        <v>1.0</v>
      </c>
      <c r="I3" s="5" t="s">
        <v>5</v>
      </c>
      <c r="J3" s="8" t="s">
        <v>6</v>
      </c>
      <c r="K3" s="4">
        <v>1.0</v>
      </c>
    </row>
    <row r="4">
      <c r="B4" s="5" t="s">
        <v>7</v>
      </c>
      <c r="C4" s="6"/>
      <c r="D4" s="5" t="s">
        <v>7</v>
      </c>
      <c r="E4" s="6"/>
      <c r="F4" s="5" t="s">
        <v>7</v>
      </c>
      <c r="G4" s="8" t="s">
        <v>6</v>
      </c>
      <c r="H4" s="4">
        <v>1.0</v>
      </c>
      <c r="I4" s="5" t="s">
        <v>7</v>
      </c>
      <c r="J4" s="8" t="s">
        <v>6</v>
      </c>
      <c r="K4" s="4">
        <v>1.0</v>
      </c>
      <c r="M4" s="9">
        <f>(M1/H1)</f>
        <v>0.743902439</v>
      </c>
    </row>
    <row r="5">
      <c r="B5" s="5" t="s">
        <v>8</v>
      </c>
      <c r="C5" s="6"/>
      <c r="D5" s="5" t="s">
        <v>8</v>
      </c>
      <c r="E5" s="6"/>
      <c r="F5" s="5" t="s">
        <v>8</v>
      </c>
      <c r="G5" s="6"/>
      <c r="H5" s="4">
        <v>1.0</v>
      </c>
      <c r="I5" s="5" t="s">
        <v>8</v>
      </c>
      <c r="J5" s="6"/>
    </row>
    <row r="6">
      <c r="B6" s="5" t="s">
        <v>9</v>
      </c>
      <c r="C6" s="6"/>
      <c r="D6" s="5" t="s">
        <v>9</v>
      </c>
      <c r="E6" s="6"/>
      <c r="F6" s="5" t="s">
        <v>9</v>
      </c>
      <c r="G6" s="6"/>
      <c r="H6" s="4">
        <v>1.0</v>
      </c>
      <c r="I6" s="5" t="s">
        <v>9</v>
      </c>
      <c r="J6" s="6"/>
    </row>
    <row r="7">
      <c r="A7" s="4" t="s">
        <v>10</v>
      </c>
      <c r="B7" s="7"/>
      <c r="C7" s="6"/>
      <c r="D7" s="7"/>
      <c r="E7" s="6"/>
      <c r="F7" s="7"/>
      <c r="G7" s="6"/>
      <c r="I7" s="7"/>
      <c r="J7" s="6"/>
    </row>
    <row r="8">
      <c r="B8" s="5" t="s">
        <v>11</v>
      </c>
      <c r="C8" s="8" t="s">
        <v>6</v>
      </c>
      <c r="D8" s="5" t="s">
        <v>11</v>
      </c>
      <c r="E8" s="6"/>
      <c r="F8" s="5" t="s">
        <v>11</v>
      </c>
      <c r="G8" s="8" t="s">
        <v>6</v>
      </c>
      <c r="H8" s="4">
        <v>1.0</v>
      </c>
      <c r="I8" s="5" t="s">
        <v>11</v>
      </c>
      <c r="J8" s="8" t="s">
        <v>6</v>
      </c>
      <c r="K8" s="4">
        <v>1.0</v>
      </c>
    </row>
    <row r="9">
      <c r="B9" s="5" t="s">
        <v>12</v>
      </c>
      <c r="C9" s="10" t="s">
        <v>13</v>
      </c>
      <c r="D9" s="5" t="s">
        <v>12</v>
      </c>
      <c r="E9" s="10" t="s">
        <v>13</v>
      </c>
      <c r="F9" s="5" t="s">
        <v>14</v>
      </c>
      <c r="G9" s="8" t="s">
        <v>6</v>
      </c>
      <c r="H9" s="4">
        <v>1.0</v>
      </c>
      <c r="I9" s="5" t="s">
        <v>14</v>
      </c>
      <c r="J9" s="8" t="s">
        <v>6</v>
      </c>
      <c r="K9" s="4">
        <v>1.0</v>
      </c>
    </row>
    <row r="10">
      <c r="B10" s="5" t="s">
        <v>15</v>
      </c>
      <c r="C10" s="6"/>
      <c r="D10" s="5" t="s">
        <v>15</v>
      </c>
      <c r="E10" s="6"/>
      <c r="F10" s="5" t="s">
        <v>15</v>
      </c>
      <c r="G10" s="8" t="s">
        <v>6</v>
      </c>
      <c r="H10" s="4">
        <v>1.0</v>
      </c>
      <c r="I10" s="5" t="s">
        <v>15</v>
      </c>
      <c r="J10" s="8" t="s">
        <v>6</v>
      </c>
      <c r="K10" s="4">
        <v>1.0</v>
      </c>
    </row>
    <row r="11">
      <c r="B11" s="5" t="s">
        <v>16</v>
      </c>
      <c r="C11" s="10" t="s">
        <v>13</v>
      </c>
      <c r="D11" s="5" t="s">
        <v>16</v>
      </c>
      <c r="E11" s="10" t="s">
        <v>13</v>
      </c>
      <c r="F11" s="5" t="s">
        <v>17</v>
      </c>
      <c r="G11" s="8" t="s">
        <v>6</v>
      </c>
      <c r="H11" s="4">
        <v>1.0</v>
      </c>
      <c r="I11" s="5" t="s">
        <v>17</v>
      </c>
      <c r="J11" s="8" t="s">
        <v>6</v>
      </c>
      <c r="K11" s="4">
        <v>1.0</v>
      </c>
    </row>
    <row r="12">
      <c r="A12" s="4" t="s">
        <v>18</v>
      </c>
      <c r="B12" s="7"/>
      <c r="C12" s="6"/>
      <c r="D12" s="7"/>
      <c r="E12" s="6"/>
      <c r="F12" s="7"/>
      <c r="G12" s="6"/>
      <c r="I12" s="7"/>
      <c r="J12" s="6"/>
    </row>
    <row r="13">
      <c r="B13" s="5" t="s">
        <v>19</v>
      </c>
      <c r="C13" s="6"/>
      <c r="D13" s="5" t="s">
        <v>19</v>
      </c>
      <c r="E13" s="8" t="s">
        <v>6</v>
      </c>
      <c r="F13" s="5" t="s">
        <v>19</v>
      </c>
      <c r="G13" s="6"/>
      <c r="H13" s="4">
        <v>1.0</v>
      </c>
      <c r="I13" s="5" t="s">
        <v>19</v>
      </c>
      <c r="J13" s="8" t="s">
        <v>6</v>
      </c>
      <c r="K13" s="4">
        <v>1.0</v>
      </c>
    </row>
    <row r="14">
      <c r="B14" s="5" t="s">
        <v>20</v>
      </c>
      <c r="C14" s="6"/>
      <c r="D14" s="5" t="s">
        <v>20</v>
      </c>
      <c r="E14" s="8" t="s">
        <v>6</v>
      </c>
      <c r="F14" s="5" t="s">
        <v>20</v>
      </c>
      <c r="G14" s="6"/>
      <c r="H14" s="4">
        <v>1.0</v>
      </c>
      <c r="I14" s="5" t="s">
        <v>20</v>
      </c>
      <c r="J14" s="8" t="s">
        <v>6</v>
      </c>
      <c r="K14" s="4">
        <v>1.0</v>
      </c>
    </row>
    <row r="15">
      <c r="B15" s="5" t="s">
        <v>21</v>
      </c>
      <c r="C15" s="6"/>
      <c r="D15" s="5" t="s">
        <v>21</v>
      </c>
      <c r="E15" s="8" t="s">
        <v>6</v>
      </c>
      <c r="F15" s="5" t="s">
        <v>21</v>
      </c>
      <c r="G15" s="6"/>
      <c r="H15" s="4">
        <v>1.0</v>
      </c>
      <c r="I15" s="5" t="s">
        <v>21</v>
      </c>
      <c r="J15" s="8" t="s">
        <v>6</v>
      </c>
      <c r="K15" s="4">
        <v>1.0</v>
      </c>
    </row>
    <row r="16">
      <c r="B16" s="5" t="s">
        <v>22</v>
      </c>
      <c r="C16" s="6"/>
      <c r="D16" s="5" t="s">
        <v>22</v>
      </c>
      <c r="E16" s="8" t="s">
        <v>6</v>
      </c>
      <c r="F16" s="5" t="s">
        <v>22</v>
      </c>
      <c r="G16" s="6"/>
      <c r="H16" s="4">
        <v>1.0</v>
      </c>
      <c r="I16" s="5" t="s">
        <v>22</v>
      </c>
      <c r="J16" s="8" t="s">
        <v>6</v>
      </c>
      <c r="K16" s="4">
        <v>1.0</v>
      </c>
    </row>
    <row r="17">
      <c r="B17" s="7"/>
      <c r="C17" s="6"/>
      <c r="D17" s="7"/>
      <c r="E17" s="6"/>
      <c r="F17" s="7"/>
      <c r="G17" s="6"/>
      <c r="I17" s="7"/>
      <c r="J17" s="6"/>
    </row>
    <row r="18">
      <c r="A18" s="4" t="s">
        <v>23</v>
      </c>
      <c r="B18" s="7"/>
      <c r="C18" s="6"/>
      <c r="D18" s="7"/>
      <c r="E18" s="6"/>
      <c r="F18" s="7"/>
      <c r="G18" s="6"/>
      <c r="I18" s="7"/>
      <c r="J18" s="6"/>
    </row>
    <row r="19">
      <c r="B19" s="5" t="s">
        <v>24</v>
      </c>
      <c r="C19" s="6"/>
      <c r="D19" s="5" t="s">
        <v>24</v>
      </c>
      <c r="E19" s="6"/>
      <c r="F19" s="5" t="s">
        <v>24</v>
      </c>
      <c r="G19" s="8" t="s">
        <v>6</v>
      </c>
      <c r="H19" s="4">
        <v>1.0</v>
      </c>
      <c r="I19" s="5" t="s">
        <v>24</v>
      </c>
      <c r="J19" s="8" t="s">
        <v>6</v>
      </c>
      <c r="K19" s="4">
        <v>1.0</v>
      </c>
    </row>
    <row r="20">
      <c r="B20" s="5" t="s">
        <v>25</v>
      </c>
      <c r="C20" s="6"/>
      <c r="D20" s="5" t="s">
        <v>25</v>
      </c>
      <c r="E20" s="6"/>
      <c r="F20" s="5" t="s">
        <v>25</v>
      </c>
      <c r="G20" s="6"/>
      <c r="H20" s="4">
        <v>1.0</v>
      </c>
      <c r="I20" s="5" t="s">
        <v>25</v>
      </c>
      <c r="J20" s="6"/>
    </row>
    <row r="21">
      <c r="B21" s="5" t="s">
        <v>26</v>
      </c>
      <c r="C21" s="6"/>
      <c r="D21" s="5" t="s">
        <v>26</v>
      </c>
      <c r="E21" s="6"/>
      <c r="F21" s="5" t="s">
        <v>26</v>
      </c>
      <c r="G21" s="6"/>
      <c r="H21" s="4">
        <v>1.0</v>
      </c>
      <c r="I21" s="5" t="s">
        <v>26</v>
      </c>
      <c r="J21" s="6"/>
    </row>
    <row r="22">
      <c r="B22" s="5" t="s">
        <v>27</v>
      </c>
      <c r="C22" s="6"/>
      <c r="D22" s="5" t="s">
        <v>27</v>
      </c>
      <c r="E22" s="6"/>
      <c r="F22" s="5" t="s">
        <v>27</v>
      </c>
      <c r="G22" s="6"/>
      <c r="H22" s="4">
        <v>1.0</v>
      </c>
      <c r="I22" s="5" t="s">
        <v>27</v>
      </c>
      <c r="J22" s="6"/>
    </row>
    <row r="23">
      <c r="B23" s="5" t="s">
        <v>28</v>
      </c>
      <c r="C23" s="6"/>
      <c r="D23" s="5" t="s">
        <v>28</v>
      </c>
      <c r="E23" s="6"/>
      <c r="F23" s="5" t="s">
        <v>28</v>
      </c>
      <c r="G23" s="6"/>
      <c r="H23" s="4">
        <v>1.0</v>
      </c>
      <c r="I23" s="5" t="s">
        <v>28</v>
      </c>
      <c r="J23" s="6"/>
    </row>
    <row r="24">
      <c r="B24" s="5" t="s">
        <v>29</v>
      </c>
      <c r="C24" s="8" t="s">
        <v>6</v>
      </c>
      <c r="D24" s="5" t="s">
        <v>29</v>
      </c>
      <c r="E24" s="6"/>
      <c r="F24" s="5" t="s">
        <v>29</v>
      </c>
      <c r="G24" s="8" t="s">
        <v>6</v>
      </c>
      <c r="H24" s="4">
        <v>1.0</v>
      </c>
      <c r="I24" s="5" t="s">
        <v>29</v>
      </c>
      <c r="J24" s="8" t="s">
        <v>6</v>
      </c>
      <c r="K24" s="4">
        <v>1.0</v>
      </c>
    </row>
    <row r="25">
      <c r="B25" s="5" t="s">
        <v>30</v>
      </c>
      <c r="C25" s="6"/>
      <c r="D25" s="5" t="s">
        <v>30</v>
      </c>
      <c r="E25" s="6"/>
      <c r="F25" s="5" t="s">
        <v>30</v>
      </c>
      <c r="G25" s="6"/>
      <c r="H25" s="4">
        <v>1.0</v>
      </c>
      <c r="I25" s="5" t="s">
        <v>30</v>
      </c>
      <c r="J25" s="6"/>
    </row>
    <row r="26">
      <c r="B26" s="5" t="s">
        <v>31</v>
      </c>
      <c r="C26" s="10" t="s">
        <v>13</v>
      </c>
      <c r="D26" s="5" t="s">
        <v>31</v>
      </c>
      <c r="E26" s="6"/>
      <c r="F26" s="5" t="s">
        <v>31</v>
      </c>
      <c r="G26" s="10" t="s">
        <v>13</v>
      </c>
      <c r="I26" s="5"/>
      <c r="J26" s="10" t="s">
        <v>32</v>
      </c>
    </row>
    <row r="27">
      <c r="B27" s="5" t="s">
        <v>33</v>
      </c>
      <c r="C27" s="6"/>
      <c r="D27" s="5" t="s">
        <v>33</v>
      </c>
      <c r="E27" s="6"/>
      <c r="F27" s="5" t="s">
        <v>33</v>
      </c>
      <c r="G27" s="6"/>
      <c r="H27" s="4">
        <v>1.0</v>
      </c>
      <c r="I27" s="5" t="s">
        <v>33</v>
      </c>
      <c r="J27" s="6"/>
    </row>
    <row r="28">
      <c r="B28" s="5" t="s">
        <v>34</v>
      </c>
      <c r="C28" s="6"/>
      <c r="D28" s="5" t="s">
        <v>34</v>
      </c>
      <c r="E28" s="6"/>
      <c r="F28" s="5" t="s">
        <v>34</v>
      </c>
      <c r="G28" s="6"/>
      <c r="H28" s="4">
        <v>1.0</v>
      </c>
      <c r="I28" s="5" t="s">
        <v>34</v>
      </c>
      <c r="J28" s="6"/>
    </row>
    <row r="29">
      <c r="B29" s="7"/>
      <c r="C29" s="6"/>
      <c r="D29" s="7"/>
      <c r="E29" s="6"/>
      <c r="F29" s="7"/>
      <c r="G29" s="6"/>
      <c r="I29" s="7"/>
      <c r="J29" s="6"/>
    </row>
    <row r="30">
      <c r="A30" s="4" t="s">
        <v>35</v>
      </c>
      <c r="B30" s="7"/>
      <c r="C30" s="6"/>
      <c r="D30" s="7"/>
      <c r="E30" s="6"/>
      <c r="F30" s="7"/>
      <c r="G30" s="6"/>
      <c r="I30" s="7"/>
      <c r="J30" s="6"/>
    </row>
    <row r="31">
      <c r="B31" s="5" t="s">
        <v>36</v>
      </c>
      <c r="C31" s="6"/>
      <c r="D31" s="5" t="s">
        <v>36</v>
      </c>
      <c r="E31" s="6"/>
      <c r="F31" s="5" t="s">
        <v>36</v>
      </c>
      <c r="G31" s="8" t="s">
        <v>6</v>
      </c>
      <c r="H31" s="4">
        <v>1.0</v>
      </c>
      <c r="I31" s="5" t="s">
        <v>36</v>
      </c>
      <c r="J31" s="8" t="s">
        <v>6</v>
      </c>
      <c r="K31" s="4">
        <v>1.0</v>
      </c>
    </row>
    <row r="32">
      <c r="B32" s="5" t="s">
        <v>37</v>
      </c>
      <c r="C32" s="6"/>
      <c r="D32" s="5" t="s">
        <v>37</v>
      </c>
      <c r="E32" s="6"/>
      <c r="F32" s="5" t="s">
        <v>37</v>
      </c>
      <c r="G32" s="8" t="s">
        <v>6</v>
      </c>
      <c r="H32" s="4">
        <v>1.0</v>
      </c>
      <c r="I32" s="5" t="s">
        <v>37</v>
      </c>
      <c r="J32" s="8" t="s">
        <v>6</v>
      </c>
      <c r="K32" s="4">
        <v>1.0</v>
      </c>
    </row>
    <row r="33">
      <c r="B33" s="5" t="s">
        <v>38</v>
      </c>
      <c r="C33" s="6"/>
      <c r="D33" s="5" t="s">
        <v>38</v>
      </c>
      <c r="E33" s="6"/>
      <c r="F33" s="5" t="s">
        <v>38</v>
      </c>
      <c r="G33" s="8" t="s">
        <v>6</v>
      </c>
      <c r="H33" s="4">
        <v>1.0</v>
      </c>
      <c r="I33" s="5" t="s">
        <v>38</v>
      </c>
      <c r="J33" s="8" t="s">
        <v>6</v>
      </c>
      <c r="K33" s="4">
        <v>1.0</v>
      </c>
    </row>
    <row r="34">
      <c r="B34" s="5" t="s">
        <v>39</v>
      </c>
      <c r="C34" s="6"/>
      <c r="D34" s="5" t="s">
        <v>39</v>
      </c>
      <c r="E34" s="6"/>
      <c r="F34" s="5" t="s">
        <v>39</v>
      </c>
      <c r="G34" s="6"/>
      <c r="H34" s="4">
        <v>1.0</v>
      </c>
      <c r="I34" s="5" t="s">
        <v>39</v>
      </c>
      <c r="J34" s="6"/>
    </row>
    <row r="35">
      <c r="B35" s="7"/>
      <c r="C35" s="6"/>
      <c r="D35" s="7"/>
      <c r="E35" s="6"/>
      <c r="F35" s="7"/>
      <c r="G35" s="6"/>
      <c r="I35" s="7"/>
      <c r="J35" s="6"/>
    </row>
    <row r="36">
      <c r="A36" s="4" t="s">
        <v>40</v>
      </c>
      <c r="B36" s="7"/>
      <c r="C36" s="6"/>
      <c r="D36" s="7"/>
      <c r="E36" s="6"/>
      <c r="F36" s="7"/>
      <c r="G36" s="6"/>
      <c r="I36" s="7"/>
      <c r="J36" s="6"/>
    </row>
    <row r="37">
      <c r="A37" s="4"/>
      <c r="B37" s="5" t="s">
        <v>41</v>
      </c>
      <c r="C37" s="8" t="s">
        <v>6</v>
      </c>
      <c r="D37" s="5" t="s">
        <v>41</v>
      </c>
      <c r="E37" s="6"/>
      <c r="F37" s="5" t="s">
        <v>41</v>
      </c>
      <c r="G37" s="6"/>
      <c r="H37" s="4">
        <v>1.0</v>
      </c>
      <c r="I37" s="5" t="s">
        <v>41</v>
      </c>
      <c r="J37" s="8" t="s">
        <v>6</v>
      </c>
      <c r="K37" s="4">
        <v>1.0</v>
      </c>
    </row>
    <row r="38">
      <c r="A38" s="4"/>
      <c r="B38" s="5" t="s">
        <v>42</v>
      </c>
      <c r="C38" s="8" t="s">
        <v>6</v>
      </c>
      <c r="D38" s="5" t="s">
        <v>42</v>
      </c>
      <c r="E38" s="6"/>
      <c r="F38" s="5" t="s">
        <v>42</v>
      </c>
      <c r="G38" s="6"/>
      <c r="H38" s="4">
        <v>1.0</v>
      </c>
      <c r="I38" s="5" t="s">
        <v>42</v>
      </c>
      <c r="J38" s="8" t="s">
        <v>6</v>
      </c>
      <c r="K38" s="4">
        <v>1.0</v>
      </c>
    </row>
    <row r="39">
      <c r="A39" s="4"/>
      <c r="B39" s="5" t="s">
        <v>43</v>
      </c>
      <c r="C39" s="6"/>
      <c r="D39" s="5" t="s">
        <v>43</v>
      </c>
      <c r="E39" s="6"/>
      <c r="F39" s="5" t="s">
        <v>43</v>
      </c>
      <c r="G39" s="6"/>
      <c r="H39" s="4">
        <v>1.0</v>
      </c>
      <c r="I39" s="5" t="s">
        <v>43</v>
      </c>
      <c r="J39" s="6"/>
    </row>
    <row r="40">
      <c r="A40" s="4"/>
      <c r="B40" s="5" t="s">
        <v>44</v>
      </c>
      <c r="C40" s="8" t="s">
        <v>6</v>
      </c>
      <c r="D40" s="5" t="s">
        <v>44</v>
      </c>
      <c r="E40" s="6"/>
      <c r="F40" s="5" t="s">
        <v>44</v>
      </c>
      <c r="G40" s="6"/>
      <c r="H40" s="4">
        <v>1.0</v>
      </c>
      <c r="I40" s="5" t="s">
        <v>44</v>
      </c>
      <c r="J40" s="8" t="s">
        <v>6</v>
      </c>
      <c r="K40" s="4">
        <v>1.0</v>
      </c>
    </row>
    <row r="41">
      <c r="A41" s="4"/>
      <c r="B41" s="5" t="s">
        <v>45</v>
      </c>
      <c r="C41" s="6"/>
      <c r="D41" s="5" t="s">
        <v>45</v>
      </c>
      <c r="E41" s="6"/>
      <c r="F41" s="5" t="s">
        <v>45</v>
      </c>
      <c r="G41" s="6"/>
      <c r="H41" s="4">
        <v>1.0</v>
      </c>
      <c r="I41" s="5" t="s">
        <v>45</v>
      </c>
      <c r="J41" s="6"/>
    </row>
    <row r="42">
      <c r="A42" s="4"/>
      <c r="B42" s="5" t="s">
        <v>46</v>
      </c>
      <c r="C42" s="6"/>
      <c r="D42" s="5" t="s">
        <v>46</v>
      </c>
      <c r="E42" s="6"/>
      <c r="F42" s="5" t="s">
        <v>46</v>
      </c>
      <c r="G42" s="6"/>
      <c r="H42" s="4">
        <v>1.0</v>
      </c>
      <c r="I42" s="5" t="s">
        <v>46</v>
      </c>
      <c r="J42" s="6"/>
    </row>
    <row r="43">
      <c r="A43" s="4"/>
      <c r="B43" s="7"/>
      <c r="C43" s="6"/>
      <c r="D43" s="7"/>
      <c r="E43" s="6"/>
      <c r="F43" s="7"/>
      <c r="G43" s="6"/>
      <c r="I43" s="7"/>
      <c r="J43" s="6"/>
    </row>
    <row r="44">
      <c r="A44" s="4" t="s">
        <v>47</v>
      </c>
      <c r="B44" s="7"/>
      <c r="C44" s="6"/>
      <c r="D44" s="7"/>
      <c r="E44" s="6"/>
      <c r="F44" s="7"/>
      <c r="G44" s="6"/>
      <c r="I44" s="7"/>
      <c r="J44" s="6"/>
    </row>
    <row r="45">
      <c r="A45" s="4"/>
      <c r="B45" s="5" t="s">
        <v>48</v>
      </c>
      <c r="C45" s="8" t="s">
        <v>6</v>
      </c>
      <c r="D45" s="5" t="s">
        <v>48</v>
      </c>
      <c r="E45" s="6"/>
      <c r="F45" s="5" t="s">
        <v>48</v>
      </c>
      <c r="G45" s="6"/>
      <c r="H45" s="4">
        <v>1.0</v>
      </c>
      <c r="I45" s="5" t="s">
        <v>48</v>
      </c>
      <c r="J45" s="8" t="s">
        <v>6</v>
      </c>
      <c r="K45" s="4">
        <v>1.0</v>
      </c>
    </row>
    <row r="46">
      <c r="A46" s="4"/>
      <c r="B46" s="5" t="s">
        <v>49</v>
      </c>
      <c r="C46" s="6"/>
      <c r="D46" s="5" t="s">
        <v>49</v>
      </c>
      <c r="E46" s="8" t="s">
        <v>6</v>
      </c>
      <c r="F46" s="5" t="s">
        <v>49</v>
      </c>
      <c r="G46" s="6"/>
      <c r="H46" s="4">
        <v>1.0</v>
      </c>
      <c r="I46" s="5" t="s">
        <v>49</v>
      </c>
      <c r="J46" s="8" t="s">
        <v>6</v>
      </c>
      <c r="K46" s="4">
        <v>1.0</v>
      </c>
    </row>
    <row r="47">
      <c r="A47" s="4"/>
      <c r="B47" s="5" t="s">
        <v>50</v>
      </c>
      <c r="C47" s="6"/>
      <c r="D47" s="5" t="s">
        <v>50</v>
      </c>
      <c r="E47" s="6"/>
      <c r="F47" s="5" t="s">
        <v>50</v>
      </c>
      <c r="G47" s="10" t="s">
        <v>13</v>
      </c>
      <c r="H47" s="4">
        <v>1.0</v>
      </c>
      <c r="I47" s="5" t="s">
        <v>50</v>
      </c>
      <c r="J47" s="10" t="s">
        <v>13</v>
      </c>
      <c r="L47" s="4">
        <v>1.0</v>
      </c>
    </row>
    <row r="48">
      <c r="A48" s="4"/>
      <c r="B48" s="5" t="s">
        <v>51</v>
      </c>
      <c r="C48" s="8" t="s">
        <v>6</v>
      </c>
      <c r="D48" s="5" t="s">
        <v>51</v>
      </c>
      <c r="E48" s="6"/>
      <c r="F48" s="5" t="s">
        <v>51</v>
      </c>
      <c r="G48" s="11"/>
      <c r="H48" s="4">
        <v>1.0</v>
      </c>
      <c r="I48" s="5" t="s">
        <v>51</v>
      </c>
      <c r="J48" s="8" t="s">
        <v>6</v>
      </c>
      <c r="K48" s="4">
        <v>1.0</v>
      </c>
    </row>
    <row r="49">
      <c r="A49" s="4"/>
      <c r="B49" s="5" t="s">
        <v>52</v>
      </c>
      <c r="C49" s="8" t="s">
        <v>6</v>
      </c>
      <c r="D49" s="5" t="s">
        <v>52</v>
      </c>
      <c r="E49" s="6"/>
      <c r="F49" s="5" t="s">
        <v>52</v>
      </c>
      <c r="G49" s="6"/>
      <c r="H49" s="4">
        <v>1.0</v>
      </c>
      <c r="I49" s="5" t="s">
        <v>52</v>
      </c>
      <c r="J49" s="8" t="s">
        <v>6</v>
      </c>
      <c r="K49" s="4">
        <v>1.0</v>
      </c>
    </row>
    <row r="50">
      <c r="A50" s="4"/>
      <c r="B50" s="7"/>
      <c r="C50" s="6"/>
      <c r="D50" s="7"/>
      <c r="E50" s="6"/>
      <c r="F50" s="7"/>
      <c r="G50" s="6"/>
      <c r="I50" s="7"/>
      <c r="J50" s="6"/>
    </row>
    <row r="51">
      <c r="A51" s="4" t="s">
        <v>53</v>
      </c>
      <c r="B51" s="7"/>
      <c r="C51" s="6"/>
      <c r="D51" s="7"/>
      <c r="E51" s="6"/>
      <c r="F51" s="7"/>
      <c r="G51" s="6"/>
      <c r="I51" s="7"/>
      <c r="J51" s="6"/>
    </row>
    <row r="52">
      <c r="B52" s="5" t="s">
        <v>54</v>
      </c>
      <c r="C52" s="6"/>
      <c r="D52" s="5" t="s">
        <v>54</v>
      </c>
      <c r="E52" s="6"/>
      <c r="F52" s="5" t="s">
        <v>54</v>
      </c>
      <c r="G52" s="6"/>
      <c r="H52" s="4">
        <v>1.0</v>
      </c>
      <c r="I52" s="5" t="s">
        <v>54</v>
      </c>
      <c r="J52" s="6"/>
    </row>
    <row r="53">
      <c r="B53" s="5" t="s">
        <v>55</v>
      </c>
      <c r="C53" s="8" t="s">
        <v>6</v>
      </c>
      <c r="D53" s="5" t="s">
        <v>55</v>
      </c>
      <c r="E53" s="6"/>
      <c r="F53" s="5" t="s">
        <v>55</v>
      </c>
      <c r="G53" s="6"/>
      <c r="H53" s="4">
        <v>1.0</v>
      </c>
      <c r="I53" s="5" t="s">
        <v>55</v>
      </c>
      <c r="J53" s="8" t="s">
        <v>6</v>
      </c>
      <c r="K53" s="4">
        <v>1.0</v>
      </c>
    </row>
    <row r="54">
      <c r="B54" s="7"/>
      <c r="C54" s="6"/>
      <c r="D54" s="7"/>
      <c r="E54" s="6"/>
      <c r="F54" s="7"/>
      <c r="G54" s="6"/>
      <c r="I54" s="7"/>
      <c r="J54" s="6"/>
    </row>
    <row r="55">
      <c r="A55" s="4" t="s">
        <v>56</v>
      </c>
      <c r="B55" s="7"/>
      <c r="C55" s="6"/>
      <c r="D55" s="7"/>
      <c r="E55" s="6"/>
      <c r="F55" s="7"/>
      <c r="G55" s="6"/>
      <c r="I55" s="7"/>
      <c r="J55" s="6"/>
    </row>
    <row r="56">
      <c r="B56" s="5" t="s">
        <v>57</v>
      </c>
      <c r="C56" s="8" t="s">
        <v>6</v>
      </c>
      <c r="D56" s="5" t="s">
        <v>57</v>
      </c>
      <c r="E56" s="6"/>
      <c r="F56" s="5" t="s">
        <v>57</v>
      </c>
      <c r="G56" s="8" t="s">
        <v>6</v>
      </c>
      <c r="H56" s="4">
        <v>1.0</v>
      </c>
      <c r="I56" s="5" t="s">
        <v>57</v>
      </c>
      <c r="J56" s="8" t="s">
        <v>6</v>
      </c>
      <c r="K56" s="4">
        <v>1.0</v>
      </c>
    </row>
    <row r="57">
      <c r="B57" s="5" t="s">
        <v>58</v>
      </c>
      <c r="C57" s="10" t="s">
        <v>13</v>
      </c>
      <c r="D57" s="5" t="s">
        <v>58</v>
      </c>
      <c r="E57" s="6"/>
      <c r="F57" s="5" t="s">
        <v>58</v>
      </c>
      <c r="G57" s="10" t="s">
        <v>13</v>
      </c>
      <c r="I57" s="5"/>
      <c r="J57" s="10" t="s">
        <v>32</v>
      </c>
      <c r="L57" s="4">
        <v>1.0</v>
      </c>
    </row>
    <row r="58">
      <c r="B58" s="5" t="s">
        <v>59</v>
      </c>
      <c r="C58" s="6"/>
      <c r="D58" s="5" t="s">
        <v>59</v>
      </c>
      <c r="E58" s="6"/>
      <c r="F58" s="5" t="s">
        <v>59</v>
      </c>
      <c r="G58" s="8" t="s">
        <v>6</v>
      </c>
      <c r="H58" s="4">
        <v>1.0</v>
      </c>
      <c r="I58" s="5" t="s">
        <v>59</v>
      </c>
      <c r="J58" s="8" t="s">
        <v>6</v>
      </c>
      <c r="K58" s="4">
        <v>1.0</v>
      </c>
    </row>
    <row r="59">
      <c r="B59" s="5" t="s">
        <v>60</v>
      </c>
      <c r="C59" s="6"/>
      <c r="D59" s="5" t="s">
        <v>60</v>
      </c>
      <c r="E59" s="6"/>
      <c r="F59" s="5" t="s">
        <v>60</v>
      </c>
      <c r="G59" s="10" t="s">
        <v>13</v>
      </c>
      <c r="H59" s="4">
        <v>1.0</v>
      </c>
      <c r="I59" s="5" t="s">
        <v>60</v>
      </c>
      <c r="J59" s="10" t="s">
        <v>13</v>
      </c>
      <c r="L59" s="4">
        <v>1.0</v>
      </c>
    </row>
    <row r="60">
      <c r="B60" s="5" t="s">
        <v>61</v>
      </c>
      <c r="C60" s="11"/>
      <c r="D60" s="5" t="s">
        <v>61</v>
      </c>
      <c r="E60" s="6"/>
      <c r="F60" s="5" t="s">
        <v>61</v>
      </c>
      <c r="G60" s="10" t="s">
        <v>13</v>
      </c>
      <c r="H60" s="4">
        <v>1.0</v>
      </c>
      <c r="I60" s="5" t="s">
        <v>61</v>
      </c>
      <c r="J60" s="10" t="s">
        <v>13</v>
      </c>
      <c r="L60" s="4">
        <v>1.0</v>
      </c>
    </row>
    <row r="61">
      <c r="B61" s="5" t="s">
        <v>62</v>
      </c>
      <c r="C61" s="8" t="s">
        <v>6</v>
      </c>
      <c r="D61" s="5" t="s">
        <v>62</v>
      </c>
      <c r="E61" s="6"/>
      <c r="F61" s="5" t="s">
        <v>62</v>
      </c>
      <c r="G61" s="8" t="s">
        <v>6</v>
      </c>
      <c r="H61" s="4">
        <v>1.0</v>
      </c>
      <c r="I61" s="5" t="s">
        <v>62</v>
      </c>
      <c r="J61" s="8" t="s">
        <v>6</v>
      </c>
      <c r="K61" s="4">
        <v>1.0</v>
      </c>
    </row>
    <row r="62">
      <c r="B62" s="7"/>
      <c r="C62" s="6"/>
      <c r="D62" s="7"/>
      <c r="E62" s="6"/>
      <c r="F62" s="7"/>
      <c r="G62" s="6"/>
      <c r="I62" s="7"/>
      <c r="J62" s="6"/>
    </row>
    <row r="63">
      <c r="A63" s="4" t="s">
        <v>63</v>
      </c>
      <c r="B63" s="7"/>
      <c r="C63" s="6"/>
      <c r="D63" s="7"/>
      <c r="E63" s="6"/>
      <c r="F63" s="7"/>
      <c r="G63" s="6"/>
      <c r="I63" s="7"/>
      <c r="J63" s="6"/>
    </row>
    <row r="64">
      <c r="B64" s="5" t="s">
        <v>64</v>
      </c>
      <c r="C64" s="10" t="s">
        <v>13</v>
      </c>
      <c r="D64" s="5" t="s">
        <v>64</v>
      </c>
      <c r="E64" s="10" t="s">
        <v>13</v>
      </c>
      <c r="F64" s="5" t="s">
        <v>64</v>
      </c>
      <c r="G64" s="6"/>
      <c r="I64" s="5"/>
      <c r="J64" s="10" t="s">
        <v>32</v>
      </c>
      <c r="L64" s="4">
        <v>1.0</v>
      </c>
    </row>
    <row r="65">
      <c r="B65" s="5" t="s">
        <v>65</v>
      </c>
      <c r="C65" s="6"/>
      <c r="D65" s="5" t="s">
        <v>65</v>
      </c>
      <c r="E65" s="6"/>
      <c r="F65" s="5" t="s">
        <v>65</v>
      </c>
      <c r="G65" s="6"/>
      <c r="H65" s="4">
        <v>1.0</v>
      </c>
      <c r="I65" s="5" t="s">
        <v>65</v>
      </c>
      <c r="J65" s="6"/>
    </row>
    <row r="66">
      <c r="B66" s="5" t="s">
        <v>66</v>
      </c>
      <c r="C66" s="8" t="s">
        <v>6</v>
      </c>
      <c r="D66" s="5" t="s">
        <v>66</v>
      </c>
      <c r="E66" s="6"/>
      <c r="F66" s="5" t="s">
        <v>66</v>
      </c>
      <c r="G66" s="6"/>
      <c r="H66" s="4">
        <v>1.0</v>
      </c>
      <c r="I66" s="5" t="s">
        <v>66</v>
      </c>
      <c r="J66" s="8" t="s">
        <v>6</v>
      </c>
      <c r="K66" s="4">
        <v>1.0</v>
      </c>
    </row>
    <row r="67">
      <c r="B67" s="7"/>
      <c r="C67" s="6"/>
      <c r="D67" s="7"/>
      <c r="E67" s="6"/>
      <c r="F67" s="7"/>
      <c r="G67" s="6"/>
      <c r="I67" s="7"/>
      <c r="J67" s="6"/>
    </row>
    <row r="68">
      <c r="A68" s="10" t="s">
        <v>67</v>
      </c>
      <c r="B68" s="12"/>
      <c r="C68" s="10"/>
      <c r="D68" s="12"/>
      <c r="E68" s="13"/>
      <c r="F68" s="12"/>
      <c r="G68" s="10"/>
      <c r="H68" s="14"/>
      <c r="I68" s="12"/>
      <c r="J68" s="13"/>
    </row>
    <row r="69">
      <c r="A69" s="15"/>
      <c r="B69" s="16" t="s">
        <v>68</v>
      </c>
      <c r="C69" s="10" t="s">
        <v>13</v>
      </c>
      <c r="D69" s="16" t="s">
        <v>68</v>
      </c>
      <c r="E69" s="13"/>
      <c r="F69" s="16" t="s">
        <v>68</v>
      </c>
      <c r="G69" s="10" t="s">
        <v>13</v>
      </c>
      <c r="H69" s="14"/>
      <c r="I69" s="12"/>
      <c r="J69" s="10" t="s">
        <v>32</v>
      </c>
    </row>
    <row r="70">
      <c r="A70" s="15"/>
      <c r="B70" s="16" t="s">
        <v>69</v>
      </c>
      <c r="C70" s="10" t="s">
        <v>13</v>
      </c>
      <c r="D70" s="16" t="s">
        <v>69</v>
      </c>
      <c r="E70" s="13"/>
      <c r="F70" s="16" t="s">
        <v>69</v>
      </c>
      <c r="G70" s="10" t="s">
        <v>13</v>
      </c>
      <c r="H70" s="14"/>
      <c r="I70" s="12"/>
      <c r="J70" s="10" t="s">
        <v>32</v>
      </c>
    </row>
    <row r="71">
      <c r="B71" s="7"/>
      <c r="C71" s="6"/>
      <c r="D71" s="7"/>
      <c r="E71" s="6"/>
      <c r="F71" s="7"/>
      <c r="G71" s="6"/>
      <c r="I71" s="7"/>
      <c r="J71" s="6"/>
    </row>
    <row r="72">
      <c r="A72" s="4" t="s">
        <v>70</v>
      </c>
      <c r="B72" s="7"/>
      <c r="C72" s="6"/>
      <c r="D72" s="7"/>
      <c r="E72" s="6"/>
      <c r="F72" s="7"/>
      <c r="G72" s="6"/>
      <c r="I72" s="7"/>
      <c r="J72" s="6"/>
    </row>
    <row r="73">
      <c r="B73" s="5" t="s">
        <v>71</v>
      </c>
      <c r="C73" s="8" t="s">
        <v>6</v>
      </c>
      <c r="D73" s="5" t="s">
        <v>71</v>
      </c>
      <c r="E73" s="6"/>
      <c r="F73" s="5" t="s">
        <v>71</v>
      </c>
      <c r="G73" s="6"/>
      <c r="H73" s="4">
        <v>1.0</v>
      </c>
      <c r="I73" s="5" t="s">
        <v>71</v>
      </c>
      <c r="J73" s="8" t="s">
        <v>6</v>
      </c>
      <c r="K73" s="4">
        <v>1.0</v>
      </c>
    </row>
    <row r="74">
      <c r="B74" s="5" t="s">
        <v>72</v>
      </c>
      <c r="C74" s="6"/>
      <c r="D74" s="5" t="s">
        <v>72</v>
      </c>
      <c r="E74" s="6"/>
      <c r="F74" s="5" t="s">
        <v>72</v>
      </c>
      <c r="G74" s="6"/>
      <c r="H74" s="4">
        <v>1.0</v>
      </c>
      <c r="I74" s="5" t="s">
        <v>72</v>
      </c>
      <c r="J74" s="6"/>
    </row>
    <row r="75">
      <c r="B75" s="7"/>
      <c r="C75" s="6"/>
      <c r="D75" s="7"/>
      <c r="E75" s="6"/>
      <c r="F75" s="7"/>
      <c r="G75" s="6"/>
      <c r="I75" s="7"/>
      <c r="J75" s="6"/>
    </row>
    <row r="76">
      <c r="A76" s="4" t="s">
        <v>73</v>
      </c>
      <c r="B76" s="7"/>
      <c r="C76" s="6"/>
      <c r="D76" s="7"/>
      <c r="E76" s="6"/>
      <c r="F76" s="7"/>
      <c r="G76" s="6"/>
      <c r="I76" s="7"/>
      <c r="J76" s="6"/>
    </row>
    <row r="77">
      <c r="B77" s="5" t="s">
        <v>74</v>
      </c>
      <c r="C77" s="8" t="s">
        <v>6</v>
      </c>
      <c r="D77" s="5" t="s">
        <v>74</v>
      </c>
      <c r="E77" s="6"/>
      <c r="F77" s="5" t="s">
        <v>74</v>
      </c>
      <c r="G77" s="8" t="s">
        <v>6</v>
      </c>
      <c r="H77" s="4">
        <v>1.0</v>
      </c>
      <c r="I77" s="5" t="s">
        <v>74</v>
      </c>
      <c r="J77" s="8" t="s">
        <v>6</v>
      </c>
      <c r="K77" s="4">
        <v>1.0</v>
      </c>
    </row>
    <row r="78">
      <c r="B78" s="5" t="s">
        <v>75</v>
      </c>
      <c r="C78" s="6"/>
      <c r="D78" s="5" t="s">
        <v>75</v>
      </c>
      <c r="E78" s="6"/>
      <c r="F78" s="5" t="s">
        <v>75</v>
      </c>
      <c r="G78" s="6"/>
      <c r="H78" s="4">
        <v>1.0</v>
      </c>
      <c r="I78" s="5" t="s">
        <v>75</v>
      </c>
      <c r="J78" s="6"/>
    </row>
    <row r="79">
      <c r="B79" s="5" t="s">
        <v>76</v>
      </c>
      <c r="C79" s="6"/>
      <c r="D79" s="5" t="s">
        <v>76</v>
      </c>
      <c r="E79" s="6"/>
      <c r="F79" s="5" t="s">
        <v>76</v>
      </c>
      <c r="G79" s="6"/>
      <c r="H79" s="4">
        <v>1.0</v>
      </c>
      <c r="I79" s="5" t="s">
        <v>76</v>
      </c>
      <c r="J79" s="6"/>
    </row>
    <row r="80">
      <c r="B80" s="5" t="s">
        <v>77</v>
      </c>
      <c r="C80" s="8" t="s">
        <v>6</v>
      </c>
      <c r="D80" s="5" t="s">
        <v>77</v>
      </c>
      <c r="E80" s="6"/>
      <c r="F80" s="5" t="s">
        <v>77</v>
      </c>
      <c r="G80" s="8" t="s">
        <v>6</v>
      </c>
      <c r="H80" s="4">
        <v>1.0</v>
      </c>
      <c r="I80" s="5" t="s">
        <v>77</v>
      </c>
      <c r="J80" s="8" t="s">
        <v>6</v>
      </c>
      <c r="K80" s="4">
        <v>1.0</v>
      </c>
    </row>
    <row r="81">
      <c r="B81" s="7"/>
      <c r="C81" s="6"/>
      <c r="D81" s="7"/>
      <c r="E81" s="6"/>
      <c r="F81" s="7"/>
      <c r="G81" s="6"/>
      <c r="I81" s="7"/>
      <c r="J81" s="6"/>
    </row>
    <row r="82">
      <c r="A82" s="4" t="s">
        <v>78</v>
      </c>
      <c r="B82" s="7"/>
      <c r="C82" s="6"/>
      <c r="D82" s="7"/>
      <c r="E82" s="6"/>
      <c r="F82" s="7"/>
      <c r="G82" s="6"/>
      <c r="I82" s="7"/>
      <c r="J82" s="6"/>
    </row>
    <row r="83">
      <c r="B83" s="5" t="s">
        <v>79</v>
      </c>
      <c r="C83" s="8" t="s">
        <v>6</v>
      </c>
      <c r="D83" s="5" t="s">
        <v>79</v>
      </c>
      <c r="E83" s="6"/>
      <c r="F83" s="5" t="s">
        <v>79</v>
      </c>
      <c r="G83" s="6"/>
      <c r="H83" s="4">
        <v>1.0</v>
      </c>
      <c r="I83" s="17" t="s">
        <v>79</v>
      </c>
      <c r="J83" s="8" t="s">
        <v>6</v>
      </c>
      <c r="K83" s="4">
        <v>1.0</v>
      </c>
    </row>
    <row r="84">
      <c r="B84" s="5" t="s">
        <v>80</v>
      </c>
      <c r="C84" s="6"/>
      <c r="D84" s="5" t="s">
        <v>80</v>
      </c>
      <c r="E84" s="6"/>
      <c r="F84" s="5" t="s">
        <v>80</v>
      </c>
      <c r="G84" s="6"/>
      <c r="H84" s="4">
        <v>1.0</v>
      </c>
      <c r="I84" s="17" t="s">
        <v>80</v>
      </c>
      <c r="J84" s="6"/>
    </row>
    <row r="85">
      <c r="B85" s="5" t="s">
        <v>81</v>
      </c>
      <c r="C85" s="8" t="s">
        <v>6</v>
      </c>
      <c r="D85" s="5" t="s">
        <v>81</v>
      </c>
      <c r="E85" s="6"/>
      <c r="F85" s="5" t="s">
        <v>81</v>
      </c>
      <c r="G85" s="6"/>
      <c r="H85" s="4">
        <v>1.0</v>
      </c>
      <c r="I85" s="17" t="s">
        <v>81</v>
      </c>
      <c r="J85" s="8" t="s">
        <v>6</v>
      </c>
      <c r="K85" s="4">
        <v>1.0</v>
      </c>
    </row>
    <row r="86">
      <c r="B86" s="5" t="s">
        <v>82</v>
      </c>
      <c r="C86" s="8" t="s">
        <v>6</v>
      </c>
      <c r="D86" s="5" t="s">
        <v>82</v>
      </c>
      <c r="E86" s="6"/>
      <c r="F86" s="5" t="s">
        <v>82</v>
      </c>
      <c r="G86" s="6"/>
      <c r="H86" s="4">
        <v>1.0</v>
      </c>
      <c r="I86" s="17" t="s">
        <v>82</v>
      </c>
      <c r="J86" s="8" t="s">
        <v>6</v>
      </c>
      <c r="K86" s="4">
        <v>1.0</v>
      </c>
    </row>
    <row r="87">
      <c r="B87" s="5" t="s">
        <v>83</v>
      </c>
      <c r="C87" s="6"/>
      <c r="D87" s="5" t="s">
        <v>83</v>
      </c>
      <c r="E87" s="6"/>
      <c r="F87" s="5" t="s">
        <v>83</v>
      </c>
      <c r="G87" s="6"/>
      <c r="H87" s="4">
        <v>1.0</v>
      </c>
      <c r="I87" s="17" t="s">
        <v>83</v>
      </c>
      <c r="J87" s="6"/>
    </row>
    <row r="88">
      <c r="B88" s="5" t="s">
        <v>84</v>
      </c>
      <c r="C88" s="8" t="s">
        <v>6</v>
      </c>
      <c r="D88" s="5" t="s">
        <v>84</v>
      </c>
      <c r="E88" s="6"/>
      <c r="F88" s="5" t="s">
        <v>84</v>
      </c>
      <c r="G88" s="6"/>
      <c r="H88" s="4">
        <v>1.0</v>
      </c>
      <c r="I88" s="17" t="s">
        <v>84</v>
      </c>
      <c r="J88" s="8" t="s">
        <v>6</v>
      </c>
      <c r="K88" s="4">
        <v>1.0</v>
      </c>
    </row>
    <row r="89">
      <c r="B89" s="7"/>
      <c r="C89" s="6"/>
      <c r="D89" s="7"/>
      <c r="E89" s="6"/>
      <c r="F89" s="7"/>
      <c r="G89" s="6"/>
      <c r="I89" s="7"/>
      <c r="J89" s="6"/>
    </row>
    <row r="90">
      <c r="A90" s="4" t="s">
        <v>85</v>
      </c>
      <c r="B90" s="7"/>
      <c r="C90" s="6"/>
      <c r="D90" s="7"/>
      <c r="E90" s="6"/>
      <c r="F90" s="7"/>
      <c r="G90" s="6"/>
      <c r="I90" s="7"/>
      <c r="J90" s="6"/>
    </row>
    <row r="91">
      <c r="B91" s="5" t="s">
        <v>86</v>
      </c>
      <c r="C91" s="6"/>
      <c r="D91" s="5" t="s">
        <v>86</v>
      </c>
      <c r="E91" s="6"/>
      <c r="F91" s="5" t="s">
        <v>86</v>
      </c>
      <c r="G91" s="6"/>
      <c r="H91" s="4">
        <v>1.0</v>
      </c>
      <c r="I91" s="5" t="s">
        <v>86</v>
      </c>
      <c r="J91" s="6"/>
    </row>
    <row r="92">
      <c r="B92" s="5" t="s">
        <v>87</v>
      </c>
      <c r="C92" s="6"/>
      <c r="D92" s="5" t="s">
        <v>87</v>
      </c>
      <c r="E92" s="8" t="s">
        <v>6</v>
      </c>
      <c r="F92" s="5" t="s">
        <v>87</v>
      </c>
      <c r="G92" s="6"/>
      <c r="H92" s="4">
        <v>1.0</v>
      </c>
      <c r="I92" s="5" t="s">
        <v>87</v>
      </c>
      <c r="J92" s="8" t="s">
        <v>6</v>
      </c>
      <c r="K92" s="4">
        <v>1.0</v>
      </c>
    </row>
    <row r="93">
      <c r="B93" s="7"/>
      <c r="C93" s="6"/>
      <c r="D93" s="7"/>
      <c r="E93" s="6"/>
      <c r="F93" s="7"/>
      <c r="G93" s="6"/>
      <c r="I93" s="7"/>
      <c r="J93" s="6"/>
    </row>
    <row r="94">
      <c r="A94" s="4" t="s">
        <v>88</v>
      </c>
      <c r="B94" s="7"/>
      <c r="C94" s="6"/>
      <c r="D94" s="7"/>
      <c r="E94" s="6"/>
      <c r="F94" s="7"/>
      <c r="G94" s="6"/>
      <c r="I94" s="7"/>
      <c r="J94" s="6"/>
    </row>
    <row r="95">
      <c r="B95" s="5" t="s">
        <v>89</v>
      </c>
      <c r="C95" s="6"/>
      <c r="D95" s="5" t="s">
        <v>89</v>
      </c>
      <c r="E95" s="6"/>
      <c r="F95" s="5" t="s">
        <v>89</v>
      </c>
      <c r="G95" s="6"/>
      <c r="H95" s="4">
        <v>1.0</v>
      </c>
      <c r="I95" s="5" t="s">
        <v>89</v>
      </c>
      <c r="J95" s="6"/>
    </row>
    <row r="96">
      <c r="B96" s="5" t="s">
        <v>90</v>
      </c>
      <c r="C96" s="6"/>
      <c r="D96" s="5" t="s">
        <v>90</v>
      </c>
      <c r="E96" s="8" t="s">
        <v>6</v>
      </c>
      <c r="F96" s="5" t="s">
        <v>90</v>
      </c>
      <c r="G96" s="6"/>
      <c r="H96" s="4">
        <v>1.0</v>
      </c>
      <c r="I96" s="5" t="s">
        <v>90</v>
      </c>
      <c r="J96" s="8" t="s">
        <v>6</v>
      </c>
      <c r="K96" s="4">
        <v>1.0</v>
      </c>
    </row>
    <row r="97">
      <c r="B97" s="7"/>
      <c r="C97" s="6"/>
      <c r="D97" s="7"/>
      <c r="E97" s="6"/>
      <c r="F97" s="7"/>
      <c r="G97" s="6"/>
      <c r="I97" s="7"/>
      <c r="J97" s="6"/>
    </row>
    <row r="98">
      <c r="A98" s="4" t="s">
        <v>91</v>
      </c>
      <c r="B98" s="7"/>
      <c r="C98" s="6"/>
      <c r="D98" s="7"/>
      <c r="E98" s="6"/>
      <c r="F98" s="7"/>
      <c r="G98" s="6"/>
      <c r="I98" s="7"/>
      <c r="J98" s="6"/>
    </row>
    <row r="99">
      <c r="B99" s="5" t="s">
        <v>92</v>
      </c>
      <c r="C99" s="6"/>
      <c r="D99" s="5" t="s">
        <v>92</v>
      </c>
      <c r="E99" s="6"/>
      <c r="F99" s="5" t="s">
        <v>92</v>
      </c>
      <c r="G99" s="8" t="s">
        <v>6</v>
      </c>
      <c r="H99" s="4">
        <v>1.0</v>
      </c>
      <c r="I99" s="5" t="s">
        <v>92</v>
      </c>
      <c r="J99" s="8" t="s">
        <v>6</v>
      </c>
      <c r="K99" s="4">
        <v>1.0</v>
      </c>
    </row>
    <row r="100">
      <c r="B100" s="5" t="s">
        <v>93</v>
      </c>
      <c r="C100" s="6"/>
      <c r="D100" s="5" t="s">
        <v>93</v>
      </c>
      <c r="E100" s="6"/>
      <c r="F100" s="5" t="s">
        <v>93</v>
      </c>
      <c r="G100" s="8" t="s">
        <v>6</v>
      </c>
      <c r="H100" s="4">
        <v>1.0</v>
      </c>
      <c r="I100" s="5" t="s">
        <v>93</v>
      </c>
      <c r="J100" s="8" t="s">
        <v>6</v>
      </c>
      <c r="K100" s="4">
        <v>1.0</v>
      </c>
    </row>
    <row r="101">
      <c r="B101" s="5" t="s">
        <v>94</v>
      </c>
      <c r="C101" s="6"/>
      <c r="D101" s="5" t="s">
        <v>94</v>
      </c>
      <c r="E101" s="6"/>
      <c r="F101" s="5" t="s">
        <v>94</v>
      </c>
      <c r="G101" s="10" t="s">
        <v>13</v>
      </c>
      <c r="H101" s="4">
        <v>1.0</v>
      </c>
      <c r="I101" s="5" t="s">
        <v>94</v>
      </c>
      <c r="J101" s="10" t="s">
        <v>13</v>
      </c>
      <c r="L101" s="4">
        <v>1.0</v>
      </c>
    </row>
    <row r="102">
      <c r="B102" s="7"/>
      <c r="C102" s="6"/>
      <c r="D102" s="7"/>
      <c r="E102" s="6"/>
      <c r="F102" s="7"/>
      <c r="G102" s="6"/>
      <c r="I102" s="7"/>
      <c r="J102" s="6"/>
    </row>
    <row r="103">
      <c r="A103" s="4" t="s">
        <v>95</v>
      </c>
      <c r="B103" s="7"/>
      <c r="C103" s="6"/>
      <c r="D103" s="7"/>
      <c r="E103" s="6"/>
      <c r="F103" s="7"/>
      <c r="G103" s="6"/>
      <c r="I103" s="7"/>
      <c r="J103" s="6"/>
    </row>
    <row r="104">
      <c r="B104" s="5" t="s">
        <v>96</v>
      </c>
      <c r="C104" s="6"/>
      <c r="D104" s="5" t="s">
        <v>96</v>
      </c>
      <c r="E104" s="8" t="s">
        <v>6</v>
      </c>
      <c r="F104" s="5" t="s">
        <v>96</v>
      </c>
      <c r="G104" s="6"/>
      <c r="H104" s="4">
        <v>1.0</v>
      </c>
      <c r="I104" s="5" t="s">
        <v>96</v>
      </c>
      <c r="J104" s="8" t="s">
        <v>6</v>
      </c>
      <c r="K104" s="4">
        <v>1.0</v>
      </c>
    </row>
    <row r="105">
      <c r="B105" s="7"/>
      <c r="C105" s="6"/>
      <c r="D105" s="7"/>
      <c r="E105" s="6"/>
      <c r="F105" s="7"/>
      <c r="G105" s="6"/>
      <c r="I105" s="7"/>
      <c r="J105" s="6"/>
    </row>
    <row r="106">
      <c r="A106" s="4" t="s">
        <v>97</v>
      </c>
      <c r="B106" s="7"/>
      <c r="C106" s="6"/>
      <c r="D106" s="7"/>
      <c r="E106" s="6"/>
      <c r="F106" s="7"/>
      <c r="G106" s="6"/>
      <c r="I106" s="7"/>
      <c r="J106" s="6"/>
    </row>
    <row r="107">
      <c r="B107" s="5" t="s">
        <v>98</v>
      </c>
      <c r="C107" s="8" t="s">
        <v>6</v>
      </c>
      <c r="D107" s="5" t="s">
        <v>98</v>
      </c>
      <c r="E107" s="6"/>
      <c r="F107" s="5" t="s">
        <v>98</v>
      </c>
      <c r="G107" s="6"/>
      <c r="H107" s="4">
        <v>1.0</v>
      </c>
      <c r="I107" s="5" t="s">
        <v>98</v>
      </c>
      <c r="J107" s="8" t="s">
        <v>6</v>
      </c>
      <c r="K107" s="4">
        <v>1.0</v>
      </c>
    </row>
    <row r="108">
      <c r="B108" s="5" t="s">
        <v>99</v>
      </c>
      <c r="C108" s="6"/>
      <c r="D108" s="5" t="s">
        <v>99</v>
      </c>
      <c r="E108" s="6"/>
      <c r="F108" s="5" t="s">
        <v>99</v>
      </c>
      <c r="G108" s="8" t="s">
        <v>6</v>
      </c>
      <c r="H108" s="4">
        <v>1.0</v>
      </c>
      <c r="I108" s="5" t="s">
        <v>99</v>
      </c>
      <c r="J108" s="8" t="s">
        <v>6</v>
      </c>
      <c r="K108" s="4">
        <v>1.0</v>
      </c>
    </row>
    <row r="109">
      <c r="B109" s="7"/>
      <c r="C109" s="6"/>
      <c r="D109" s="7"/>
      <c r="E109" s="6"/>
      <c r="F109" s="7"/>
      <c r="G109" s="6"/>
      <c r="I109" s="7"/>
      <c r="J109" s="6"/>
    </row>
    <row r="110">
      <c r="A110" s="4" t="s">
        <v>100</v>
      </c>
      <c r="B110" s="7"/>
      <c r="C110" s="6"/>
      <c r="D110" s="7"/>
      <c r="E110" s="6"/>
      <c r="F110" s="7"/>
      <c r="G110" s="6"/>
      <c r="I110" s="7"/>
      <c r="J110" s="6"/>
    </row>
    <row r="111">
      <c r="B111" s="5" t="s">
        <v>101</v>
      </c>
      <c r="C111" s="8" t="s">
        <v>6</v>
      </c>
      <c r="D111" s="5" t="s">
        <v>101</v>
      </c>
      <c r="E111" s="6"/>
      <c r="F111" s="5" t="s">
        <v>101</v>
      </c>
      <c r="G111" s="6"/>
      <c r="H111" s="4">
        <v>1.0</v>
      </c>
      <c r="I111" s="5" t="s">
        <v>101</v>
      </c>
      <c r="J111" s="8" t="s">
        <v>6</v>
      </c>
      <c r="K111" s="4">
        <v>1.0</v>
      </c>
    </row>
    <row r="112">
      <c r="B112" s="7"/>
      <c r="C112" s="6"/>
      <c r="D112" s="7"/>
      <c r="E112" s="6"/>
      <c r="F112" s="7"/>
      <c r="G112" s="6"/>
      <c r="I112" s="7"/>
      <c r="J112" s="6"/>
    </row>
    <row r="113">
      <c r="A113" s="4" t="s">
        <v>102</v>
      </c>
      <c r="B113" s="7"/>
      <c r="C113" s="6"/>
      <c r="D113" s="7"/>
      <c r="E113" s="6"/>
      <c r="F113" s="7"/>
      <c r="G113" s="6"/>
      <c r="I113" s="7"/>
      <c r="J113" s="6"/>
    </row>
    <row r="114">
      <c r="B114" s="5" t="s">
        <v>103</v>
      </c>
      <c r="C114" s="8" t="s">
        <v>6</v>
      </c>
      <c r="D114" s="5" t="s">
        <v>103</v>
      </c>
      <c r="E114" s="6"/>
      <c r="F114" s="5" t="s">
        <v>103</v>
      </c>
      <c r="G114" s="6"/>
      <c r="H114" s="4">
        <v>1.0</v>
      </c>
      <c r="I114" s="5" t="s">
        <v>103</v>
      </c>
      <c r="J114" s="8" t="s">
        <v>6</v>
      </c>
      <c r="K114" s="4">
        <v>1.0</v>
      </c>
    </row>
    <row r="115">
      <c r="B115" s="7"/>
      <c r="C115" s="6"/>
      <c r="D115" s="7"/>
      <c r="E115" s="6"/>
      <c r="F115" s="7"/>
      <c r="G115" s="6"/>
      <c r="I115" s="7"/>
      <c r="J115" s="6"/>
    </row>
    <row r="116">
      <c r="A116" s="4" t="s">
        <v>104</v>
      </c>
      <c r="B116" s="7"/>
      <c r="C116" s="6"/>
      <c r="D116" s="7"/>
      <c r="E116" s="6"/>
      <c r="F116" s="7"/>
      <c r="G116" s="6"/>
      <c r="I116" s="7"/>
      <c r="J116" s="6"/>
    </row>
    <row r="117">
      <c r="B117" s="5" t="s">
        <v>105</v>
      </c>
      <c r="C117" s="8" t="s">
        <v>6</v>
      </c>
      <c r="D117" s="5" t="s">
        <v>105</v>
      </c>
      <c r="E117" s="6"/>
      <c r="F117" s="5" t="s">
        <v>105</v>
      </c>
      <c r="G117" s="6"/>
      <c r="H117" s="4">
        <v>1.0</v>
      </c>
      <c r="I117" s="5" t="s">
        <v>105</v>
      </c>
      <c r="J117" s="8" t="s">
        <v>6</v>
      </c>
      <c r="K117" s="4">
        <v>1.0</v>
      </c>
    </row>
    <row r="118">
      <c r="B118" s="7"/>
      <c r="C118" s="6"/>
      <c r="D118" s="7"/>
      <c r="E118" s="6"/>
      <c r="F118" s="7"/>
      <c r="G118" s="6"/>
      <c r="I118" s="7"/>
      <c r="J118" s="6"/>
    </row>
    <row r="119">
      <c r="A119" s="4" t="s">
        <v>106</v>
      </c>
      <c r="B119" s="7"/>
      <c r="C119" s="6"/>
      <c r="D119" s="7"/>
      <c r="E119" s="6"/>
      <c r="F119" s="7"/>
      <c r="G119" s="6"/>
      <c r="I119" s="7"/>
      <c r="J119" s="6"/>
    </row>
    <row r="120">
      <c r="B120" s="5" t="s">
        <v>107</v>
      </c>
      <c r="C120" s="8" t="s">
        <v>6</v>
      </c>
      <c r="D120" s="5" t="s">
        <v>107</v>
      </c>
      <c r="E120" s="8" t="s">
        <v>6</v>
      </c>
      <c r="F120" s="5" t="s">
        <v>107</v>
      </c>
      <c r="G120" s="6"/>
      <c r="H120" s="4">
        <v>1.0</v>
      </c>
      <c r="I120" s="5" t="s">
        <v>107</v>
      </c>
      <c r="J120" s="8" t="s">
        <v>6</v>
      </c>
      <c r="K120" s="4">
        <v>1.0</v>
      </c>
    </row>
    <row r="121">
      <c r="B121" s="5" t="s">
        <v>108</v>
      </c>
      <c r="C121" s="6"/>
      <c r="D121" s="5" t="s">
        <v>108</v>
      </c>
      <c r="E121" s="6"/>
      <c r="F121" s="5" t="s">
        <v>108</v>
      </c>
      <c r="G121" s="6"/>
      <c r="H121" s="4">
        <v>1.0</v>
      </c>
      <c r="I121" s="5" t="s">
        <v>108</v>
      </c>
      <c r="J121" s="6"/>
    </row>
    <row r="122">
      <c r="B122" s="7"/>
      <c r="C122" s="6"/>
      <c r="D122" s="7"/>
      <c r="E122" s="6"/>
      <c r="F122" s="7"/>
      <c r="G122" s="6"/>
      <c r="I122" s="7"/>
      <c r="J122" s="6"/>
    </row>
    <row r="123">
      <c r="A123" s="4" t="s">
        <v>109</v>
      </c>
      <c r="B123" s="7"/>
      <c r="C123" s="6"/>
      <c r="D123" s="7"/>
      <c r="E123" s="6"/>
      <c r="F123" s="7"/>
      <c r="G123" s="6"/>
      <c r="I123" s="7"/>
      <c r="J123" s="6"/>
    </row>
    <row r="124">
      <c r="B124" s="5" t="s">
        <v>110</v>
      </c>
      <c r="C124" s="6"/>
      <c r="D124" s="5" t="s">
        <v>110</v>
      </c>
      <c r="E124" s="8" t="s">
        <v>6</v>
      </c>
      <c r="F124" s="5" t="s">
        <v>110</v>
      </c>
      <c r="G124" s="6"/>
      <c r="H124" s="4">
        <v>1.0</v>
      </c>
      <c r="I124" s="5" t="s">
        <v>110</v>
      </c>
      <c r="J124" s="8" t="s">
        <v>6</v>
      </c>
      <c r="K124" s="4">
        <v>1.0</v>
      </c>
    </row>
    <row r="125">
      <c r="B125" s="7"/>
      <c r="C125" s="6"/>
      <c r="D125" s="7"/>
      <c r="E125" s="6"/>
      <c r="F125" s="7"/>
      <c r="G125" s="6"/>
      <c r="I125" s="7"/>
      <c r="J125" s="6"/>
    </row>
    <row r="126">
      <c r="A126" s="4" t="s">
        <v>111</v>
      </c>
      <c r="B126" s="7"/>
      <c r="C126" s="6"/>
      <c r="D126" s="7"/>
      <c r="E126" s="6"/>
      <c r="F126" s="7"/>
      <c r="G126" s="6"/>
      <c r="I126" s="7"/>
      <c r="J126" s="6"/>
    </row>
    <row r="127">
      <c r="B127" s="5" t="s">
        <v>112</v>
      </c>
      <c r="C127" s="6"/>
      <c r="D127" s="5" t="s">
        <v>112</v>
      </c>
      <c r="E127" s="8" t="s">
        <v>6</v>
      </c>
      <c r="F127" s="5" t="s">
        <v>112</v>
      </c>
      <c r="G127" s="6"/>
      <c r="H127" s="4">
        <v>1.0</v>
      </c>
      <c r="I127" s="5" t="s">
        <v>112</v>
      </c>
      <c r="J127" s="8" t="s">
        <v>6</v>
      </c>
      <c r="K127" s="4">
        <v>1.0</v>
      </c>
    </row>
    <row r="128">
      <c r="B128" s="5" t="s">
        <v>113</v>
      </c>
      <c r="C128" s="6"/>
      <c r="D128" s="5" t="s">
        <v>113</v>
      </c>
      <c r="E128" s="8" t="s">
        <v>6</v>
      </c>
      <c r="F128" s="5" t="s">
        <v>113</v>
      </c>
      <c r="G128" s="6"/>
      <c r="H128" s="4">
        <v>1.0</v>
      </c>
      <c r="I128" s="5" t="s">
        <v>113</v>
      </c>
      <c r="J128" s="8" t="s">
        <v>6</v>
      </c>
      <c r="K128" s="4">
        <v>1.0</v>
      </c>
    </row>
    <row r="129">
      <c r="B129" s="5" t="s">
        <v>114</v>
      </c>
      <c r="C129" s="6"/>
      <c r="D129" s="5" t="s">
        <v>114</v>
      </c>
      <c r="E129" s="8" t="s">
        <v>6</v>
      </c>
      <c r="F129" s="5" t="s">
        <v>114</v>
      </c>
      <c r="G129" s="6"/>
      <c r="H129" s="4">
        <v>1.0</v>
      </c>
      <c r="I129" s="5" t="s">
        <v>114</v>
      </c>
      <c r="J129" s="8" t="s">
        <v>6</v>
      </c>
      <c r="K129" s="4">
        <v>1.0</v>
      </c>
    </row>
    <row r="130">
      <c r="B130" s="5" t="s">
        <v>115</v>
      </c>
      <c r="C130" s="6"/>
      <c r="D130" s="5" t="s">
        <v>115</v>
      </c>
      <c r="E130" s="8" t="s">
        <v>6</v>
      </c>
      <c r="F130" s="5" t="s">
        <v>115</v>
      </c>
      <c r="G130" s="6"/>
      <c r="H130" s="4">
        <v>1.0</v>
      </c>
      <c r="I130" s="5" t="s">
        <v>115</v>
      </c>
      <c r="J130" s="8" t="s">
        <v>6</v>
      </c>
      <c r="K130" s="4">
        <v>1.0</v>
      </c>
    </row>
    <row r="131">
      <c r="B131" s="7"/>
      <c r="C131" s="6"/>
      <c r="D131" s="7"/>
      <c r="E131" s="6"/>
      <c r="F131" s="7"/>
      <c r="G131" s="6"/>
      <c r="I131" s="7"/>
      <c r="J131" s="6"/>
    </row>
    <row r="132">
      <c r="A132" s="4" t="s">
        <v>116</v>
      </c>
      <c r="B132" s="7"/>
      <c r="C132" s="6"/>
      <c r="D132" s="7"/>
      <c r="E132" s="6"/>
      <c r="F132" s="7"/>
      <c r="G132" s="6"/>
      <c r="I132" s="7"/>
      <c r="J132" s="6"/>
    </row>
    <row r="133">
      <c r="B133" s="5" t="s">
        <v>117</v>
      </c>
      <c r="C133" s="8" t="s">
        <v>6</v>
      </c>
      <c r="D133" s="5" t="s">
        <v>117</v>
      </c>
      <c r="E133" s="6"/>
      <c r="F133" s="5" t="s">
        <v>117</v>
      </c>
      <c r="G133" s="6"/>
      <c r="H133" s="4">
        <v>1.0</v>
      </c>
      <c r="I133" s="5" t="s">
        <v>117</v>
      </c>
      <c r="J133" s="8" t="s">
        <v>6</v>
      </c>
      <c r="K133" s="4">
        <v>1.0</v>
      </c>
    </row>
    <row r="134">
      <c r="B134" s="7"/>
      <c r="C134" s="6"/>
      <c r="D134" s="7"/>
      <c r="E134" s="6"/>
      <c r="F134" s="7"/>
      <c r="G134" s="6"/>
      <c r="I134" s="7"/>
      <c r="J134" s="6"/>
    </row>
    <row r="135">
      <c r="A135" s="4" t="s">
        <v>118</v>
      </c>
      <c r="B135" s="7"/>
      <c r="C135" s="6"/>
      <c r="E135" s="6"/>
      <c r="F135" s="7"/>
      <c r="G135" s="6"/>
      <c r="I135" s="7"/>
      <c r="J135" s="6"/>
    </row>
    <row r="136">
      <c r="B136" s="7"/>
      <c r="C136" s="6"/>
      <c r="D136" s="5" t="s">
        <v>119</v>
      </c>
      <c r="E136" s="10" t="s">
        <v>13</v>
      </c>
      <c r="F136" s="5" t="s">
        <v>119</v>
      </c>
      <c r="G136" s="6"/>
      <c r="H136" s="4">
        <v>1.0</v>
      </c>
      <c r="I136" s="5" t="s">
        <v>119</v>
      </c>
      <c r="J136" s="10" t="s">
        <v>13</v>
      </c>
      <c r="L136" s="4">
        <v>1.0</v>
      </c>
    </row>
    <row r="137">
      <c r="B137" s="7"/>
      <c r="C137" s="6"/>
      <c r="D137" s="5" t="s">
        <v>120</v>
      </c>
      <c r="E137" s="8" t="s">
        <v>6</v>
      </c>
      <c r="F137" s="5" t="s">
        <v>120</v>
      </c>
      <c r="G137" s="6"/>
      <c r="H137" s="4">
        <v>1.0</v>
      </c>
      <c r="I137" s="5" t="s">
        <v>120</v>
      </c>
      <c r="J137" s="8" t="s">
        <v>6</v>
      </c>
      <c r="K137" s="4">
        <v>1.0</v>
      </c>
    </row>
    <row r="138">
      <c r="B138" s="7"/>
      <c r="C138" s="6"/>
      <c r="D138" s="5" t="s">
        <v>121</v>
      </c>
      <c r="E138" s="8" t="s">
        <v>6</v>
      </c>
      <c r="F138" s="5" t="s">
        <v>121</v>
      </c>
      <c r="G138" s="6"/>
      <c r="H138" s="4">
        <v>1.0</v>
      </c>
      <c r="I138" s="5" t="s">
        <v>121</v>
      </c>
      <c r="J138" s="8" t="s">
        <v>6</v>
      </c>
      <c r="K138" s="4">
        <v>1.0</v>
      </c>
    </row>
    <row r="139">
      <c r="B139" s="7"/>
      <c r="C139" s="6"/>
      <c r="D139" s="7"/>
      <c r="E139" s="6"/>
      <c r="F139" s="7"/>
      <c r="G139" s="6"/>
      <c r="I139" s="7"/>
      <c r="J139" s="6"/>
    </row>
    <row r="140">
      <c r="A140" s="4" t="s">
        <v>122</v>
      </c>
      <c r="B140" s="7"/>
      <c r="C140" s="6"/>
      <c r="E140" s="6"/>
      <c r="F140" s="7"/>
      <c r="G140" s="6"/>
      <c r="I140" s="7"/>
      <c r="J140" s="6"/>
    </row>
    <row r="141">
      <c r="B141" s="7"/>
      <c r="C141" s="6"/>
      <c r="D141" s="5" t="s">
        <v>123</v>
      </c>
      <c r="E141" s="8" t="s">
        <v>6</v>
      </c>
      <c r="F141" s="5" t="s">
        <v>124</v>
      </c>
      <c r="G141" s="6"/>
      <c r="H141" s="4">
        <v>1.0</v>
      </c>
      <c r="I141" s="5" t="s">
        <v>124</v>
      </c>
      <c r="J141" s="8" t="s">
        <v>6</v>
      </c>
      <c r="K141" s="4">
        <v>1.0</v>
      </c>
    </row>
    <row r="142">
      <c r="A142" s="18"/>
      <c r="B142" s="19"/>
      <c r="C142" s="20"/>
      <c r="D142" s="19"/>
      <c r="E142" s="20"/>
      <c r="F142" s="19"/>
      <c r="G142" s="20"/>
      <c r="H142" s="18"/>
      <c r="I142" s="18"/>
      <c r="J142" s="18"/>
    </row>
    <row r="143">
      <c r="B143" s="5" t="s">
        <v>125</v>
      </c>
      <c r="C143" s="6">
        <f>COUNTA(B1:B141)</f>
        <v>84</v>
      </c>
      <c r="D143" s="5" t="s">
        <v>125</v>
      </c>
      <c r="E143" s="6">
        <f>COUNTA(D1:D141)</f>
        <v>88</v>
      </c>
      <c r="F143" s="5" t="s">
        <v>125</v>
      </c>
      <c r="G143" s="6">
        <f>COUNTA(F1:F141)</f>
        <v>88</v>
      </c>
      <c r="I143" s="5" t="s">
        <v>125</v>
      </c>
      <c r="J143" s="6">
        <f>COUNTA(I1:I141)</f>
        <v>83</v>
      </c>
    </row>
    <row r="144">
      <c r="B144" s="5" t="s">
        <v>6</v>
      </c>
      <c r="C144" s="6">
        <f>COUNTIF(C2:C141, "validado")</f>
        <v>25</v>
      </c>
      <c r="D144" s="5" t="s">
        <v>6</v>
      </c>
      <c r="E144" s="6">
        <f>COUNTIF(E2:E141, "validado")</f>
        <v>17</v>
      </c>
      <c r="F144" s="5" t="s">
        <v>6</v>
      </c>
      <c r="G144" s="6">
        <f>COUNTIF(G2:G141, "validado")</f>
        <v>19</v>
      </c>
      <c r="I144" s="5" t="s">
        <v>6</v>
      </c>
      <c r="J144" s="6">
        <f>COUNTIF(J2:J141, "validado")</f>
        <v>54</v>
      </c>
    </row>
    <row r="145">
      <c r="B145" s="5" t="s">
        <v>13</v>
      </c>
      <c r="C145" s="11">
        <f>COUNTIF(C2:C141, "Refutado")</f>
        <v>7</v>
      </c>
      <c r="D145" s="5" t="s">
        <v>13</v>
      </c>
      <c r="E145" s="11">
        <f>COUNTIF(E2:E141, "Refutado")</f>
        <v>4</v>
      </c>
      <c r="F145" s="5" t="s">
        <v>13</v>
      </c>
      <c r="G145" s="11">
        <f>COUNTIF(G2:G141, "Refutado")</f>
        <v>8</v>
      </c>
      <c r="I145" s="5" t="s">
        <v>13</v>
      </c>
      <c r="J145" s="11">
        <f>COUNTIF(J2:J141, "Refutado")</f>
        <v>5</v>
      </c>
    </row>
    <row r="146">
      <c r="B146" s="5" t="s">
        <v>32</v>
      </c>
      <c r="C146" s="6"/>
      <c r="D146" s="5" t="s">
        <v>32</v>
      </c>
      <c r="E146" s="6"/>
      <c r="F146" s="5" t="s">
        <v>32</v>
      </c>
      <c r="G146" s="6">
        <f>COUNTIF(G2:G141, "removido")</f>
        <v>0</v>
      </c>
      <c r="I146" s="5" t="s">
        <v>32</v>
      </c>
      <c r="J146" s="6">
        <f>COUNTIF(J2:J141, "removido")</f>
        <v>5</v>
      </c>
    </row>
    <row r="147">
      <c r="B147" s="5" t="s">
        <v>126</v>
      </c>
      <c r="C147" s="6"/>
      <c r="D147" s="5" t="s">
        <v>126</v>
      </c>
      <c r="E147" s="6"/>
      <c r="F147" s="5" t="s">
        <v>126</v>
      </c>
      <c r="G147" s="6"/>
      <c r="I147" s="5" t="s">
        <v>126</v>
      </c>
      <c r="J147" s="6"/>
    </row>
    <row r="148">
      <c r="B148" s="5" t="s">
        <v>127</v>
      </c>
      <c r="C148" s="21">
        <f>(C144+C145)/C143</f>
        <v>0.380952381</v>
      </c>
      <c r="D148" s="5" t="s">
        <v>127</v>
      </c>
      <c r="E148" s="21">
        <f>(E144+E145)/E143</f>
        <v>0.2386363636</v>
      </c>
      <c r="F148" s="5" t="s">
        <v>127</v>
      </c>
      <c r="G148" s="21">
        <f>(G144+G145)/G143</f>
        <v>0.3068181818</v>
      </c>
      <c r="I148" s="5" t="s">
        <v>127</v>
      </c>
      <c r="J148" s="21">
        <f>(J144+J145)/J143</f>
        <v>0.7108433735</v>
      </c>
    </row>
    <row r="149">
      <c r="B149" s="5" t="s">
        <v>128</v>
      </c>
      <c r="C149" s="21">
        <f>C144/C143</f>
        <v>0.2976190476</v>
      </c>
      <c r="D149" s="5" t="s">
        <v>128</v>
      </c>
      <c r="E149" s="21">
        <f>E144/E143</f>
        <v>0.1931818182</v>
      </c>
      <c r="F149" s="5" t="s">
        <v>128</v>
      </c>
      <c r="G149" s="21">
        <f>G144/G143</f>
        <v>0.2159090909</v>
      </c>
      <c r="I149" s="5"/>
      <c r="J149" s="21"/>
    </row>
    <row r="150">
      <c r="B150" s="7"/>
      <c r="C150" s="6"/>
      <c r="D150" s="5" t="s">
        <v>129</v>
      </c>
      <c r="E150" s="22">
        <f>COUNTIFS(E2:E141, "*valid*", C2:C141, "&lt;&gt;*valid*")</f>
        <v>16</v>
      </c>
      <c r="F150" s="5" t="s">
        <v>129</v>
      </c>
      <c r="G150" s="22">
        <f>COUNTIFS(G2:G141, "*valid*", E2:E141, "&lt;&gt;*valid*", C2:C141, "&lt;&gt;*valid*")</f>
        <v>13</v>
      </c>
      <c r="I150" s="5"/>
      <c r="J150" s="22"/>
    </row>
    <row r="151">
      <c r="B151" s="7"/>
      <c r="C151" s="6"/>
      <c r="F151" s="7"/>
      <c r="G151" s="6"/>
    </row>
    <row r="152">
      <c r="B152" s="7"/>
      <c r="C152" s="6"/>
      <c r="D152" s="4" t="s">
        <v>130</v>
      </c>
      <c r="E152" s="23">
        <f>(C144+E150)/E143</f>
        <v>0.4659090909</v>
      </c>
      <c r="F152" s="7"/>
      <c r="G152" s="21">
        <f>(C144+E150+G150)/G143</f>
        <v>0.6136363636</v>
      </c>
    </row>
    <row r="153">
      <c r="B153" s="7"/>
      <c r="C153" s="6"/>
      <c r="D153" s="7"/>
      <c r="E153" s="6"/>
      <c r="F153" s="7"/>
      <c r="G153" s="6"/>
    </row>
    <row r="154">
      <c r="B154" s="7"/>
      <c r="C154" s="6"/>
      <c r="D154" s="7"/>
      <c r="E154" s="6"/>
      <c r="F154" s="7"/>
      <c r="G154" s="6"/>
    </row>
    <row r="155">
      <c r="B155" s="7"/>
      <c r="C155" s="6"/>
      <c r="D155" s="7"/>
      <c r="E155" s="6"/>
      <c r="F155" s="7"/>
      <c r="G155" s="6">
        <f>C144+E150+G150</f>
        <v>54</v>
      </c>
    </row>
  </sheetData>
  <mergeCells count="3">
    <mergeCell ref="B1:C1"/>
    <mergeCell ref="D1:E1"/>
    <mergeCell ref="F1:G1"/>
  </mergeCells>
  <printOptions gridLines="1" horizontalCentered="1"/>
  <pageMargins bottom="0.75" footer="0.0" header="0.0" left="0.7" right="0.7" top="0.75"/>
  <pageSetup fitToHeight="0" cellComments="atEnd" orientation="landscape" pageOrder="overThenDown"/>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44.88"/>
    <col customWidth="1" min="4" max="4" width="18.5"/>
    <col customWidth="1" min="6" max="6" width="32.0"/>
    <col customWidth="1" min="7" max="7" width="36.38"/>
  </cols>
  <sheetData>
    <row r="1">
      <c r="A1" s="24"/>
      <c r="B1" s="24" t="s">
        <v>131</v>
      </c>
      <c r="C1" s="24" t="s">
        <v>132</v>
      </c>
      <c r="D1" s="24" t="s">
        <v>133</v>
      </c>
      <c r="E1" s="24" t="s">
        <v>134</v>
      </c>
      <c r="F1" s="24" t="s">
        <v>135</v>
      </c>
      <c r="G1" s="24" t="s">
        <v>136</v>
      </c>
      <c r="H1" s="25"/>
      <c r="I1" s="25"/>
      <c r="J1" s="25"/>
      <c r="K1" s="25"/>
      <c r="L1" s="25"/>
      <c r="M1" s="25"/>
      <c r="N1" s="25"/>
      <c r="O1" s="25"/>
      <c r="P1" s="25"/>
      <c r="Q1" s="25"/>
      <c r="R1" s="25"/>
      <c r="S1" s="25"/>
      <c r="T1" s="25"/>
      <c r="U1" s="25"/>
      <c r="V1" s="25"/>
      <c r="W1" s="25"/>
      <c r="X1" s="25"/>
      <c r="Y1" s="25"/>
      <c r="Z1" s="25"/>
      <c r="AA1" s="25"/>
    </row>
    <row r="2" ht="219.0" customHeight="1">
      <c r="A2" s="24" t="s">
        <v>4</v>
      </c>
      <c r="B2" s="25"/>
      <c r="C2" s="24" t="s">
        <v>137</v>
      </c>
      <c r="D2" s="24"/>
      <c r="E2" s="24"/>
      <c r="F2" s="24"/>
      <c r="G2" s="24"/>
      <c r="H2" s="25"/>
      <c r="I2" s="25"/>
      <c r="J2" s="25"/>
      <c r="K2" s="25"/>
      <c r="L2" s="25"/>
      <c r="M2" s="25"/>
      <c r="N2" s="25"/>
      <c r="O2" s="25"/>
      <c r="P2" s="25"/>
      <c r="Q2" s="25"/>
      <c r="R2" s="25"/>
      <c r="S2" s="25"/>
      <c r="T2" s="25"/>
      <c r="U2" s="25"/>
      <c r="V2" s="25"/>
      <c r="W2" s="25"/>
      <c r="X2" s="25"/>
      <c r="Y2" s="25"/>
      <c r="Z2" s="25"/>
      <c r="AA2" s="25"/>
    </row>
    <row r="3">
      <c r="A3" s="24"/>
      <c r="B3" s="24" t="s">
        <v>5</v>
      </c>
      <c r="C3" s="24" t="s">
        <v>138</v>
      </c>
      <c r="D3" s="24"/>
      <c r="E3" s="24"/>
      <c r="F3" s="24"/>
      <c r="G3" s="24"/>
      <c r="H3" s="25"/>
      <c r="I3" s="25"/>
      <c r="J3" s="25"/>
      <c r="K3" s="25"/>
      <c r="L3" s="25"/>
      <c r="M3" s="25"/>
      <c r="N3" s="25"/>
      <c r="O3" s="25"/>
      <c r="P3" s="25"/>
      <c r="Q3" s="25"/>
      <c r="R3" s="25"/>
      <c r="S3" s="25"/>
      <c r="T3" s="25"/>
      <c r="U3" s="25"/>
      <c r="V3" s="25"/>
      <c r="W3" s="25"/>
      <c r="X3" s="25"/>
      <c r="Y3" s="25"/>
      <c r="Z3" s="25"/>
      <c r="AA3" s="25"/>
    </row>
    <row r="4">
      <c r="A4" s="24"/>
      <c r="B4" s="24" t="s">
        <v>7</v>
      </c>
      <c r="C4" s="24" t="s">
        <v>139</v>
      </c>
      <c r="D4" s="24"/>
      <c r="E4" s="24"/>
      <c r="F4" s="24"/>
      <c r="G4" s="24"/>
      <c r="H4" s="25"/>
      <c r="I4" s="25"/>
      <c r="J4" s="25"/>
      <c r="K4" s="25"/>
      <c r="L4" s="25"/>
      <c r="M4" s="25"/>
      <c r="N4" s="25"/>
      <c r="O4" s="25"/>
      <c r="P4" s="25"/>
      <c r="Q4" s="25"/>
      <c r="R4" s="25"/>
      <c r="S4" s="25"/>
      <c r="T4" s="25"/>
      <c r="U4" s="25"/>
      <c r="V4" s="25"/>
      <c r="W4" s="25"/>
      <c r="X4" s="25"/>
      <c r="Y4" s="25"/>
      <c r="Z4" s="25"/>
      <c r="AA4" s="25"/>
    </row>
    <row r="5">
      <c r="A5" s="24"/>
      <c r="B5" s="24" t="s">
        <v>8</v>
      </c>
      <c r="C5" s="24" t="s">
        <v>140</v>
      </c>
      <c r="D5" s="24"/>
      <c r="E5" s="24"/>
      <c r="F5" s="24"/>
      <c r="G5" s="24"/>
      <c r="H5" s="25"/>
      <c r="I5" s="25"/>
      <c r="J5" s="25"/>
      <c r="K5" s="25"/>
      <c r="L5" s="25"/>
      <c r="M5" s="25"/>
      <c r="N5" s="25"/>
      <c r="O5" s="25"/>
      <c r="P5" s="25"/>
      <c r="Q5" s="25"/>
      <c r="R5" s="25"/>
      <c r="S5" s="25"/>
      <c r="T5" s="25"/>
      <c r="U5" s="25"/>
      <c r="V5" s="25"/>
      <c r="W5" s="25"/>
      <c r="X5" s="25"/>
      <c r="Y5" s="25"/>
      <c r="Z5" s="25"/>
      <c r="AA5" s="25"/>
    </row>
    <row r="6">
      <c r="A6" s="24"/>
      <c r="B6" s="24" t="s">
        <v>9</v>
      </c>
      <c r="C6" s="24" t="s">
        <v>141</v>
      </c>
      <c r="D6" s="24"/>
      <c r="E6" s="24"/>
      <c r="F6" s="24"/>
      <c r="G6" s="24"/>
      <c r="H6" s="25"/>
      <c r="I6" s="25"/>
      <c r="J6" s="25"/>
      <c r="K6" s="25"/>
      <c r="L6" s="25"/>
      <c r="M6" s="25"/>
      <c r="N6" s="25"/>
      <c r="O6" s="25"/>
      <c r="P6" s="25"/>
      <c r="Q6" s="25"/>
      <c r="R6" s="25"/>
      <c r="S6" s="25"/>
      <c r="T6" s="25"/>
      <c r="U6" s="25"/>
      <c r="V6" s="25"/>
      <c r="W6" s="25"/>
      <c r="X6" s="25"/>
      <c r="Y6" s="25"/>
      <c r="Z6" s="25"/>
      <c r="AA6" s="25"/>
    </row>
    <row r="7">
      <c r="A7" s="24" t="s">
        <v>10</v>
      </c>
      <c r="B7" s="25"/>
      <c r="C7" s="24" t="s">
        <v>142</v>
      </c>
      <c r="D7" s="24"/>
      <c r="E7" s="24" t="s">
        <v>143</v>
      </c>
      <c r="F7" s="24" t="s">
        <v>144</v>
      </c>
      <c r="G7" s="24" t="s">
        <v>145</v>
      </c>
      <c r="H7" s="25"/>
      <c r="I7" s="25"/>
      <c r="J7" s="25"/>
      <c r="K7" s="25"/>
      <c r="L7" s="25"/>
      <c r="M7" s="25"/>
      <c r="N7" s="25"/>
      <c r="O7" s="25"/>
      <c r="P7" s="25"/>
      <c r="Q7" s="25"/>
      <c r="R7" s="25"/>
      <c r="S7" s="25"/>
      <c r="T7" s="25"/>
      <c r="U7" s="25"/>
      <c r="V7" s="25"/>
      <c r="W7" s="25"/>
      <c r="X7" s="25"/>
      <c r="Y7" s="25"/>
      <c r="Z7" s="25"/>
      <c r="AA7" s="25"/>
    </row>
    <row r="8">
      <c r="A8" s="24"/>
      <c r="B8" s="24" t="s">
        <v>11</v>
      </c>
      <c r="C8" s="24" t="s">
        <v>146</v>
      </c>
      <c r="D8" s="26" t="s">
        <v>147</v>
      </c>
      <c r="E8" s="25"/>
      <c r="F8" s="25"/>
      <c r="G8" s="24" t="s">
        <v>148</v>
      </c>
      <c r="H8" s="25"/>
      <c r="I8" s="25"/>
      <c r="J8" s="25"/>
      <c r="K8" s="25"/>
      <c r="L8" s="25"/>
      <c r="M8" s="25"/>
      <c r="N8" s="25"/>
      <c r="O8" s="25"/>
      <c r="P8" s="25"/>
      <c r="Q8" s="25"/>
      <c r="R8" s="25"/>
      <c r="S8" s="25"/>
      <c r="T8" s="25"/>
      <c r="U8" s="25"/>
      <c r="V8" s="25"/>
      <c r="W8" s="25"/>
      <c r="X8" s="25"/>
      <c r="Y8" s="25"/>
      <c r="Z8" s="25"/>
      <c r="AA8" s="25"/>
    </row>
    <row r="9">
      <c r="A9" s="24"/>
      <c r="B9" s="24" t="s">
        <v>12</v>
      </c>
      <c r="C9" s="24" t="s">
        <v>149</v>
      </c>
      <c r="D9" s="27" t="s">
        <v>150</v>
      </c>
      <c r="E9" s="25"/>
      <c r="F9" s="25"/>
      <c r="G9" s="24" t="s">
        <v>151</v>
      </c>
      <c r="H9" s="25"/>
      <c r="I9" s="25"/>
      <c r="J9" s="25"/>
      <c r="K9" s="25"/>
      <c r="L9" s="25"/>
      <c r="M9" s="25"/>
      <c r="N9" s="25"/>
      <c r="O9" s="25"/>
      <c r="P9" s="25"/>
      <c r="Q9" s="25"/>
      <c r="R9" s="25"/>
      <c r="S9" s="25"/>
      <c r="T9" s="25"/>
      <c r="U9" s="25"/>
      <c r="V9" s="25"/>
      <c r="W9" s="25"/>
      <c r="X9" s="25"/>
      <c r="Y9" s="25"/>
      <c r="Z9" s="25"/>
      <c r="AA9" s="25"/>
    </row>
    <row r="10">
      <c r="A10" s="24"/>
      <c r="B10" s="24" t="s">
        <v>15</v>
      </c>
      <c r="C10" s="24" t="s">
        <v>152</v>
      </c>
      <c r="D10" s="24"/>
      <c r="E10" s="25"/>
      <c r="F10" s="25"/>
      <c r="G10" s="24"/>
      <c r="H10" s="25"/>
      <c r="I10" s="25"/>
      <c r="J10" s="25"/>
      <c r="K10" s="25"/>
      <c r="L10" s="25"/>
      <c r="M10" s="25"/>
      <c r="N10" s="25"/>
      <c r="O10" s="25"/>
      <c r="P10" s="25"/>
      <c r="Q10" s="25"/>
      <c r="R10" s="25"/>
      <c r="S10" s="25"/>
      <c r="T10" s="25"/>
      <c r="U10" s="25"/>
      <c r="V10" s="25"/>
      <c r="W10" s="25"/>
      <c r="X10" s="25"/>
      <c r="Y10" s="25"/>
      <c r="Z10" s="25"/>
      <c r="AA10" s="25"/>
    </row>
    <row r="11">
      <c r="A11" s="24"/>
      <c r="B11" s="24" t="s">
        <v>16</v>
      </c>
      <c r="C11" s="24" t="s">
        <v>153</v>
      </c>
      <c r="D11" s="27" t="s">
        <v>150</v>
      </c>
      <c r="E11" s="25"/>
      <c r="F11" s="25"/>
      <c r="G11" s="24" t="s">
        <v>154</v>
      </c>
      <c r="H11" s="25"/>
      <c r="I11" s="25"/>
      <c r="J11" s="25"/>
      <c r="K11" s="25"/>
      <c r="L11" s="25"/>
      <c r="M11" s="25"/>
      <c r="N11" s="25"/>
      <c r="O11" s="25"/>
      <c r="P11" s="25"/>
      <c r="Q11" s="25"/>
      <c r="R11" s="25"/>
      <c r="S11" s="25"/>
      <c r="T11" s="25"/>
      <c r="U11" s="25"/>
      <c r="V11" s="25"/>
      <c r="W11" s="25"/>
      <c r="X11" s="25"/>
      <c r="Y11" s="25"/>
      <c r="Z11" s="25"/>
      <c r="AA11" s="25"/>
    </row>
    <row r="12">
      <c r="A12" s="24" t="s">
        <v>18</v>
      </c>
      <c r="B12" s="25"/>
      <c r="C12" s="24" t="s">
        <v>155</v>
      </c>
      <c r="D12" s="25"/>
      <c r="E12" s="25"/>
      <c r="F12" s="25"/>
      <c r="G12" s="25"/>
      <c r="H12" s="25"/>
      <c r="I12" s="25"/>
      <c r="J12" s="25"/>
      <c r="K12" s="25"/>
      <c r="L12" s="25"/>
      <c r="M12" s="25"/>
      <c r="N12" s="25"/>
      <c r="O12" s="25"/>
      <c r="P12" s="25"/>
      <c r="Q12" s="25"/>
      <c r="R12" s="25"/>
      <c r="S12" s="25"/>
      <c r="T12" s="25"/>
      <c r="U12" s="25"/>
      <c r="V12" s="25"/>
      <c r="W12" s="25"/>
      <c r="X12" s="25"/>
      <c r="Y12" s="25"/>
      <c r="Z12" s="25"/>
      <c r="AA12" s="25"/>
    </row>
    <row r="13">
      <c r="A13" s="24" t="s">
        <v>23</v>
      </c>
      <c r="B13" s="25"/>
      <c r="C13" s="24" t="s">
        <v>156</v>
      </c>
      <c r="D13" s="26" t="s">
        <v>147</v>
      </c>
      <c r="E13" s="24" t="s">
        <v>143</v>
      </c>
      <c r="F13" s="24" t="s">
        <v>157</v>
      </c>
      <c r="G13" s="24" t="s">
        <v>158</v>
      </c>
      <c r="H13" s="25"/>
      <c r="I13" s="25"/>
      <c r="J13" s="25"/>
      <c r="K13" s="25"/>
      <c r="L13" s="25"/>
      <c r="M13" s="25"/>
      <c r="N13" s="25"/>
      <c r="O13" s="25"/>
      <c r="P13" s="25"/>
      <c r="Q13" s="25"/>
      <c r="R13" s="25"/>
      <c r="S13" s="25"/>
      <c r="T13" s="25"/>
      <c r="U13" s="25"/>
      <c r="V13" s="25"/>
      <c r="W13" s="25"/>
      <c r="X13" s="25"/>
      <c r="Y13" s="25"/>
      <c r="Z13" s="25"/>
      <c r="AA13" s="25"/>
    </row>
    <row r="14">
      <c r="A14" s="25"/>
      <c r="B14" s="24" t="s">
        <v>24</v>
      </c>
      <c r="C14" s="24" t="s">
        <v>159</v>
      </c>
      <c r="D14" s="24"/>
      <c r="E14" s="24"/>
      <c r="F14" s="24"/>
      <c r="G14" s="24" t="s">
        <v>160</v>
      </c>
      <c r="H14" s="25"/>
      <c r="I14" s="25"/>
      <c r="J14" s="25"/>
      <c r="K14" s="25"/>
      <c r="L14" s="25"/>
      <c r="M14" s="25"/>
      <c r="N14" s="25"/>
      <c r="O14" s="25"/>
      <c r="P14" s="25"/>
      <c r="Q14" s="25"/>
      <c r="R14" s="25"/>
      <c r="S14" s="25"/>
      <c r="T14" s="25"/>
      <c r="U14" s="25"/>
      <c r="V14" s="25"/>
      <c r="W14" s="25"/>
      <c r="X14" s="25"/>
      <c r="Y14" s="25"/>
      <c r="Z14" s="25"/>
      <c r="AA14" s="25"/>
    </row>
    <row r="15">
      <c r="A15" s="25"/>
      <c r="B15" s="24" t="s">
        <v>25</v>
      </c>
      <c r="C15" s="24" t="s">
        <v>161</v>
      </c>
      <c r="D15" s="24"/>
      <c r="E15" s="24"/>
      <c r="F15" s="24"/>
      <c r="G15" s="24" t="s">
        <v>162</v>
      </c>
      <c r="H15" s="25"/>
      <c r="I15" s="25"/>
      <c r="J15" s="25"/>
      <c r="K15" s="25"/>
      <c r="L15" s="25"/>
      <c r="M15" s="25"/>
      <c r="N15" s="25"/>
      <c r="O15" s="25"/>
      <c r="P15" s="25"/>
      <c r="Q15" s="25"/>
      <c r="R15" s="25"/>
      <c r="S15" s="25"/>
      <c r="T15" s="25"/>
      <c r="U15" s="25"/>
      <c r="V15" s="25"/>
      <c r="W15" s="25"/>
      <c r="X15" s="25"/>
      <c r="Y15" s="25"/>
      <c r="Z15" s="25"/>
      <c r="AA15" s="25"/>
    </row>
    <row r="16">
      <c r="A16" s="24"/>
      <c r="B16" s="24" t="s">
        <v>26</v>
      </c>
      <c r="C16" s="24" t="s">
        <v>163</v>
      </c>
      <c r="D16" s="24"/>
      <c r="E16" s="24"/>
      <c r="F16" s="24"/>
      <c r="G16" s="25"/>
      <c r="H16" s="25"/>
      <c r="I16" s="25"/>
      <c r="J16" s="25"/>
      <c r="K16" s="25"/>
      <c r="L16" s="25"/>
      <c r="M16" s="25"/>
      <c r="N16" s="25"/>
      <c r="O16" s="25"/>
      <c r="P16" s="25"/>
      <c r="Q16" s="25"/>
      <c r="R16" s="25"/>
      <c r="S16" s="25"/>
      <c r="T16" s="25"/>
      <c r="U16" s="25"/>
      <c r="V16" s="25"/>
      <c r="W16" s="25"/>
      <c r="X16" s="25"/>
      <c r="Y16" s="25"/>
      <c r="Z16" s="25"/>
      <c r="AA16" s="25"/>
    </row>
    <row r="17">
      <c r="A17" s="24"/>
      <c r="B17" s="24" t="s">
        <v>27</v>
      </c>
      <c r="C17" s="24" t="s">
        <v>164</v>
      </c>
      <c r="D17" s="24"/>
      <c r="E17" s="24"/>
      <c r="F17" s="24"/>
      <c r="G17" s="25"/>
      <c r="H17" s="25"/>
      <c r="I17" s="25"/>
      <c r="J17" s="25"/>
      <c r="K17" s="25"/>
      <c r="L17" s="25"/>
      <c r="M17" s="25"/>
      <c r="N17" s="25"/>
      <c r="O17" s="25"/>
      <c r="P17" s="25"/>
      <c r="Q17" s="25"/>
      <c r="R17" s="25"/>
      <c r="S17" s="25"/>
      <c r="T17" s="25"/>
      <c r="U17" s="25"/>
      <c r="V17" s="25"/>
      <c r="W17" s="25"/>
      <c r="X17" s="25"/>
      <c r="Y17" s="25"/>
      <c r="Z17" s="25"/>
      <c r="AA17" s="25"/>
    </row>
    <row r="18">
      <c r="A18" s="24"/>
      <c r="B18" s="24" t="s">
        <v>28</v>
      </c>
      <c r="C18" s="24" t="s">
        <v>165</v>
      </c>
      <c r="D18" s="24"/>
      <c r="E18" s="24"/>
      <c r="F18" s="24"/>
      <c r="G18" s="25"/>
      <c r="H18" s="25"/>
      <c r="I18" s="25"/>
      <c r="J18" s="25"/>
      <c r="K18" s="25"/>
      <c r="L18" s="25"/>
      <c r="M18" s="25"/>
      <c r="N18" s="25"/>
      <c r="O18" s="25"/>
      <c r="P18" s="25"/>
      <c r="Q18" s="25"/>
      <c r="R18" s="25"/>
      <c r="S18" s="25"/>
      <c r="T18" s="25"/>
      <c r="U18" s="25"/>
      <c r="V18" s="25"/>
      <c r="W18" s="25"/>
      <c r="X18" s="25"/>
      <c r="Y18" s="25"/>
      <c r="Z18" s="25"/>
      <c r="AA18" s="25"/>
    </row>
    <row r="19">
      <c r="A19" s="24"/>
      <c r="B19" s="24" t="s">
        <v>29</v>
      </c>
      <c r="C19" s="24" t="s">
        <v>166</v>
      </c>
      <c r="D19" s="26" t="s">
        <v>147</v>
      </c>
      <c r="E19" s="24"/>
      <c r="F19" s="24"/>
      <c r="G19" s="24" t="s">
        <v>167</v>
      </c>
      <c r="H19" s="25"/>
      <c r="I19" s="25"/>
      <c r="J19" s="25"/>
      <c r="K19" s="25"/>
      <c r="L19" s="25"/>
      <c r="M19" s="25"/>
      <c r="N19" s="25"/>
      <c r="O19" s="25"/>
      <c r="P19" s="25"/>
      <c r="Q19" s="25"/>
      <c r="R19" s="25"/>
      <c r="S19" s="25"/>
      <c r="T19" s="25"/>
      <c r="U19" s="25"/>
      <c r="V19" s="25"/>
      <c r="W19" s="25"/>
      <c r="X19" s="25"/>
      <c r="Y19" s="25"/>
      <c r="Z19" s="25"/>
      <c r="AA19" s="25"/>
    </row>
    <row r="20">
      <c r="A20" s="24"/>
      <c r="B20" s="24" t="s">
        <v>30</v>
      </c>
      <c r="C20" s="24" t="s">
        <v>168</v>
      </c>
      <c r="D20" s="24"/>
      <c r="E20" s="24"/>
      <c r="F20" s="24"/>
      <c r="G20" s="25"/>
      <c r="H20" s="25"/>
      <c r="I20" s="25"/>
      <c r="J20" s="25"/>
      <c r="K20" s="25"/>
      <c r="L20" s="25"/>
      <c r="M20" s="25"/>
      <c r="N20" s="25"/>
      <c r="O20" s="25"/>
      <c r="P20" s="25"/>
      <c r="Q20" s="25"/>
      <c r="R20" s="25"/>
      <c r="S20" s="25"/>
      <c r="T20" s="25"/>
      <c r="U20" s="25"/>
      <c r="V20" s="25"/>
      <c r="W20" s="25"/>
      <c r="X20" s="25"/>
      <c r="Y20" s="25"/>
      <c r="Z20" s="25"/>
      <c r="AA20" s="25"/>
    </row>
    <row r="21">
      <c r="A21" s="24"/>
      <c r="B21" s="24" t="s">
        <v>31</v>
      </c>
      <c r="C21" s="24" t="s">
        <v>169</v>
      </c>
      <c r="D21" s="27" t="s">
        <v>150</v>
      </c>
      <c r="E21" s="24"/>
      <c r="F21" s="24"/>
      <c r="G21" s="24" t="s">
        <v>170</v>
      </c>
      <c r="H21" s="25"/>
      <c r="I21" s="25"/>
      <c r="J21" s="25"/>
      <c r="K21" s="25"/>
      <c r="L21" s="25"/>
      <c r="M21" s="25"/>
      <c r="N21" s="25"/>
      <c r="O21" s="25"/>
      <c r="P21" s="25"/>
      <c r="Q21" s="25"/>
      <c r="R21" s="25"/>
      <c r="S21" s="25"/>
      <c r="T21" s="25"/>
      <c r="U21" s="25"/>
      <c r="V21" s="25"/>
      <c r="W21" s="25"/>
      <c r="X21" s="25"/>
      <c r="Y21" s="25"/>
      <c r="Z21" s="25"/>
      <c r="AA21" s="25"/>
    </row>
    <row r="22">
      <c r="A22" s="24"/>
      <c r="B22" s="24" t="s">
        <v>33</v>
      </c>
      <c r="C22" s="24" t="s">
        <v>171</v>
      </c>
      <c r="D22" s="24"/>
      <c r="E22" s="24"/>
      <c r="F22" s="24"/>
      <c r="G22" s="25"/>
      <c r="H22" s="25"/>
      <c r="I22" s="25"/>
      <c r="J22" s="25"/>
      <c r="K22" s="25"/>
      <c r="L22" s="25"/>
      <c r="M22" s="25"/>
      <c r="N22" s="25"/>
      <c r="O22" s="25"/>
      <c r="P22" s="25"/>
      <c r="Q22" s="25"/>
      <c r="R22" s="25"/>
      <c r="S22" s="25"/>
      <c r="T22" s="25"/>
      <c r="U22" s="25"/>
      <c r="V22" s="25"/>
      <c r="W22" s="25"/>
      <c r="X22" s="25"/>
      <c r="Y22" s="25"/>
      <c r="Z22" s="25"/>
      <c r="AA22" s="25"/>
    </row>
    <row r="23">
      <c r="A23" s="24"/>
      <c r="B23" s="24" t="s">
        <v>34</v>
      </c>
      <c r="C23" s="24" t="s">
        <v>172</v>
      </c>
      <c r="D23" s="25"/>
      <c r="E23" s="25"/>
      <c r="F23" s="25"/>
      <c r="G23" s="25"/>
      <c r="H23" s="25"/>
      <c r="I23" s="25"/>
      <c r="J23" s="25"/>
      <c r="K23" s="25"/>
      <c r="L23" s="25"/>
      <c r="M23" s="25"/>
      <c r="N23" s="25"/>
      <c r="O23" s="25"/>
      <c r="P23" s="25"/>
      <c r="Q23" s="25"/>
      <c r="R23" s="25"/>
      <c r="S23" s="25"/>
      <c r="T23" s="25"/>
      <c r="U23" s="25"/>
      <c r="V23" s="25"/>
      <c r="W23" s="25"/>
      <c r="X23" s="25"/>
      <c r="Y23" s="25"/>
      <c r="Z23" s="25"/>
      <c r="AA23" s="25"/>
    </row>
    <row r="24">
      <c r="A24" s="24" t="s">
        <v>35</v>
      </c>
      <c r="B24" s="25"/>
      <c r="C24" s="25"/>
      <c r="D24" s="25"/>
      <c r="E24" s="25"/>
      <c r="F24" s="25"/>
      <c r="G24" s="25"/>
      <c r="H24" s="25"/>
      <c r="I24" s="25"/>
      <c r="J24" s="25"/>
      <c r="K24" s="25"/>
      <c r="L24" s="25"/>
      <c r="M24" s="25"/>
      <c r="N24" s="25"/>
      <c r="O24" s="25"/>
      <c r="P24" s="25"/>
      <c r="Q24" s="25"/>
      <c r="R24" s="25"/>
      <c r="S24" s="25"/>
      <c r="T24" s="25"/>
      <c r="U24" s="25"/>
      <c r="V24" s="25"/>
      <c r="W24" s="25"/>
      <c r="X24" s="25"/>
      <c r="Y24" s="25"/>
      <c r="Z24" s="25"/>
      <c r="AA24" s="25"/>
    </row>
    <row r="25">
      <c r="A25" s="24" t="s">
        <v>40</v>
      </c>
      <c r="B25" s="25"/>
      <c r="C25" s="24" t="s">
        <v>173</v>
      </c>
      <c r="D25" s="25"/>
      <c r="E25" s="25"/>
      <c r="F25" s="25"/>
      <c r="G25" s="25"/>
      <c r="H25" s="25"/>
      <c r="I25" s="25"/>
      <c r="J25" s="25"/>
      <c r="K25" s="25"/>
      <c r="L25" s="25"/>
      <c r="M25" s="25"/>
      <c r="N25" s="25"/>
      <c r="O25" s="25"/>
      <c r="P25" s="25"/>
      <c r="Q25" s="25"/>
      <c r="R25" s="25"/>
      <c r="S25" s="25"/>
      <c r="T25" s="25"/>
      <c r="U25" s="25"/>
      <c r="V25" s="25"/>
      <c r="W25" s="25"/>
      <c r="X25" s="25"/>
      <c r="Y25" s="25"/>
      <c r="Z25" s="25"/>
      <c r="AA25" s="25"/>
    </row>
    <row r="26">
      <c r="A26" s="24"/>
      <c r="B26" s="24" t="s">
        <v>41</v>
      </c>
      <c r="C26" s="24" t="s">
        <v>174</v>
      </c>
      <c r="D26" s="26" t="s">
        <v>147</v>
      </c>
      <c r="E26" s="24" t="s">
        <v>175</v>
      </c>
      <c r="F26" s="24" t="s">
        <v>176</v>
      </c>
      <c r="G26" s="24" t="s">
        <v>177</v>
      </c>
      <c r="H26" s="25"/>
      <c r="I26" s="25"/>
      <c r="J26" s="25"/>
      <c r="K26" s="25"/>
      <c r="L26" s="25"/>
      <c r="M26" s="25"/>
      <c r="N26" s="25"/>
      <c r="O26" s="25"/>
      <c r="P26" s="25"/>
      <c r="Q26" s="25"/>
      <c r="R26" s="25"/>
      <c r="S26" s="25"/>
      <c r="T26" s="25"/>
      <c r="U26" s="25"/>
      <c r="V26" s="25"/>
      <c r="W26" s="25"/>
      <c r="X26" s="25"/>
      <c r="Y26" s="25"/>
      <c r="Z26" s="25"/>
      <c r="AA26" s="25"/>
    </row>
    <row r="27">
      <c r="A27" s="24"/>
      <c r="B27" s="24" t="s">
        <v>42</v>
      </c>
      <c r="C27" s="24" t="s">
        <v>178</v>
      </c>
      <c r="D27" s="26" t="s">
        <v>147</v>
      </c>
      <c r="E27" s="24" t="s">
        <v>175</v>
      </c>
      <c r="F27" s="25"/>
      <c r="G27" s="24" t="s">
        <v>179</v>
      </c>
      <c r="H27" s="25"/>
      <c r="I27" s="25"/>
      <c r="J27" s="25"/>
      <c r="K27" s="25"/>
      <c r="L27" s="25"/>
      <c r="M27" s="25"/>
      <c r="N27" s="25"/>
      <c r="O27" s="25"/>
      <c r="P27" s="25"/>
      <c r="Q27" s="25"/>
      <c r="R27" s="25"/>
      <c r="S27" s="25"/>
      <c r="T27" s="25"/>
      <c r="U27" s="25"/>
      <c r="V27" s="25"/>
      <c r="W27" s="25"/>
      <c r="X27" s="25"/>
      <c r="Y27" s="25"/>
      <c r="Z27" s="25"/>
      <c r="AA27" s="25"/>
    </row>
    <row r="28">
      <c r="A28" s="24"/>
      <c r="B28" s="24" t="s">
        <v>43</v>
      </c>
      <c r="C28" s="24" t="s">
        <v>180</v>
      </c>
      <c r="D28" s="25"/>
      <c r="E28" s="25"/>
      <c r="F28" s="25"/>
      <c r="G28" s="25"/>
      <c r="H28" s="25"/>
      <c r="I28" s="25"/>
      <c r="J28" s="25"/>
      <c r="K28" s="25"/>
      <c r="L28" s="25"/>
      <c r="M28" s="25"/>
      <c r="N28" s="25"/>
      <c r="O28" s="25"/>
      <c r="P28" s="25"/>
      <c r="Q28" s="25"/>
      <c r="R28" s="25"/>
      <c r="S28" s="25"/>
      <c r="T28" s="25"/>
      <c r="U28" s="25"/>
      <c r="V28" s="25"/>
      <c r="W28" s="25"/>
      <c r="X28" s="25"/>
      <c r="Y28" s="25"/>
      <c r="Z28" s="25"/>
      <c r="AA28" s="25"/>
    </row>
    <row r="29">
      <c r="A29" s="24"/>
      <c r="B29" s="24" t="s">
        <v>44</v>
      </c>
      <c r="C29" s="24" t="s">
        <v>181</v>
      </c>
      <c r="D29" s="26" t="s">
        <v>147</v>
      </c>
      <c r="E29" s="24" t="s">
        <v>143</v>
      </c>
      <c r="F29" s="24" t="s">
        <v>182</v>
      </c>
      <c r="G29" s="24" t="s">
        <v>183</v>
      </c>
      <c r="H29" s="25"/>
      <c r="I29" s="25"/>
      <c r="J29" s="25"/>
      <c r="K29" s="25"/>
      <c r="L29" s="25"/>
      <c r="M29" s="25"/>
      <c r="N29" s="25"/>
      <c r="O29" s="25"/>
      <c r="P29" s="25"/>
      <c r="Q29" s="25"/>
      <c r="R29" s="25"/>
      <c r="S29" s="25"/>
      <c r="T29" s="25"/>
      <c r="U29" s="25"/>
      <c r="V29" s="25"/>
      <c r="W29" s="25"/>
      <c r="X29" s="25"/>
      <c r="Y29" s="25"/>
      <c r="Z29" s="25"/>
      <c r="AA29" s="25"/>
    </row>
    <row r="30">
      <c r="A30" s="24"/>
      <c r="B30" s="24" t="s">
        <v>45</v>
      </c>
      <c r="C30" s="24" t="s">
        <v>184</v>
      </c>
      <c r="D30" s="25"/>
      <c r="E30" s="25"/>
      <c r="F30" s="25"/>
      <c r="G30" s="25"/>
      <c r="H30" s="25"/>
      <c r="I30" s="25"/>
      <c r="J30" s="25"/>
      <c r="K30" s="25"/>
      <c r="L30" s="25"/>
      <c r="M30" s="25"/>
      <c r="N30" s="25"/>
      <c r="O30" s="25"/>
      <c r="P30" s="25"/>
      <c r="Q30" s="25"/>
      <c r="R30" s="25"/>
      <c r="S30" s="25"/>
      <c r="T30" s="25"/>
      <c r="U30" s="25"/>
      <c r="V30" s="25"/>
      <c r="W30" s="25"/>
      <c r="X30" s="25"/>
      <c r="Y30" s="25"/>
      <c r="Z30" s="25"/>
      <c r="AA30" s="25"/>
    </row>
    <row r="31">
      <c r="A31" s="24"/>
      <c r="B31" s="24" t="s">
        <v>46</v>
      </c>
      <c r="C31" s="24" t="s">
        <v>185</v>
      </c>
      <c r="D31" s="25"/>
      <c r="E31" s="25"/>
      <c r="F31" s="25"/>
      <c r="G31" s="25"/>
      <c r="H31" s="25"/>
      <c r="I31" s="25"/>
      <c r="J31" s="25"/>
      <c r="K31" s="25"/>
      <c r="L31" s="25"/>
      <c r="M31" s="25"/>
      <c r="N31" s="25"/>
      <c r="O31" s="25"/>
      <c r="P31" s="25"/>
      <c r="Q31" s="25"/>
      <c r="R31" s="25"/>
      <c r="S31" s="25"/>
      <c r="T31" s="25"/>
      <c r="U31" s="25"/>
      <c r="V31" s="25"/>
      <c r="W31" s="25"/>
      <c r="X31" s="25"/>
      <c r="Y31" s="25"/>
      <c r="Z31" s="25"/>
      <c r="AA31" s="25"/>
    </row>
    <row r="32">
      <c r="A32" s="24" t="s">
        <v>47</v>
      </c>
      <c r="B32" s="25"/>
      <c r="C32" s="24" t="s">
        <v>186</v>
      </c>
      <c r="H32" s="25"/>
      <c r="I32" s="25"/>
      <c r="J32" s="25"/>
      <c r="K32" s="25"/>
      <c r="L32" s="25"/>
      <c r="M32" s="25"/>
      <c r="N32" s="25"/>
      <c r="O32" s="25"/>
      <c r="P32" s="25"/>
      <c r="Q32" s="25"/>
      <c r="R32" s="25"/>
      <c r="S32" s="25"/>
      <c r="T32" s="25"/>
      <c r="U32" s="25"/>
      <c r="V32" s="25"/>
      <c r="W32" s="25"/>
      <c r="X32" s="25"/>
      <c r="Y32" s="25"/>
      <c r="Z32" s="25"/>
      <c r="AA32" s="25"/>
    </row>
    <row r="33">
      <c r="A33" s="24"/>
      <c r="B33" s="24" t="s">
        <v>48</v>
      </c>
      <c r="C33" s="24" t="s">
        <v>187</v>
      </c>
      <c r="D33" s="26" t="s">
        <v>147</v>
      </c>
      <c r="E33" s="25"/>
      <c r="F33" s="24" t="s">
        <v>188</v>
      </c>
      <c r="G33" s="24" t="s">
        <v>189</v>
      </c>
      <c r="H33" s="25"/>
      <c r="I33" s="25"/>
      <c r="J33" s="25"/>
      <c r="K33" s="25"/>
      <c r="L33" s="25"/>
      <c r="M33" s="25"/>
      <c r="N33" s="25"/>
      <c r="O33" s="25"/>
      <c r="P33" s="25"/>
      <c r="Q33" s="25"/>
      <c r="R33" s="25"/>
      <c r="S33" s="25"/>
      <c r="T33" s="25"/>
      <c r="U33" s="25"/>
      <c r="V33" s="25"/>
      <c r="W33" s="25"/>
      <c r="X33" s="25"/>
      <c r="Y33" s="25"/>
      <c r="Z33" s="25"/>
      <c r="AA33" s="25"/>
    </row>
    <row r="34">
      <c r="A34" s="24"/>
      <c r="B34" s="24" t="s">
        <v>49</v>
      </c>
      <c r="C34" s="24" t="s">
        <v>190</v>
      </c>
      <c r="D34" s="25"/>
      <c r="E34" s="25"/>
      <c r="F34" s="25"/>
      <c r="G34" s="25"/>
      <c r="H34" s="25"/>
      <c r="I34" s="25"/>
      <c r="J34" s="25"/>
      <c r="K34" s="25"/>
      <c r="L34" s="25"/>
      <c r="M34" s="25"/>
      <c r="N34" s="25"/>
      <c r="O34" s="25"/>
      <c r="P34" s="25"/>
      <c r="Q34" s="25"/>
      <c r="R34" s="25"/>
      <c r="S34" s="25"/>
      <c r="T34" s="25"/>
      <c r="U34" s="25"/>
      <c r="V34" s="25"/>
      <c r="W34" s="25"/>
      <c r="X34" s="25"/>
      <c r="Y34" s="25"/>
      <c r="Z34" s="25"/>
      <c r="AA34" s="25"/>
    </row>
    <row r="35">
      <c r="A35" s="24"/>
      <c r="B35" s="24" t="s">
        <v>50</v>
      </c>
      <c r="C35" s="24" t="s">
        <v>191</v>
      </c>
      <c r="D35" s="25"/>
      <c r="E35" s="25"/>
      <c r="F35" s="25"/>
      <c r="G35" s="25"/>
      <c r="H35" s="25"/>
      <c r="I35" s="25"/>
      <c r="J35" s="25"/>
      <c r="K35" s="25"/>
      <c r="L35" s="25"/>
      <c r="M35" s="25"/>
      <c r="N35" s="25"/>
      <c r="O35" s="25"/>
      <c r="P35" s="25"/>
      <c r="Q35" s="25"/>
      <c r="R35" s="25"/>
      <c r="S35" s="25"/>
      <c r="T35" s="25"/>
      <c r="U35" s="25"/>
      <c r="V35" s="25"/>
      <c r="W35" s="25"/>
      <c r="X35" s="25"/>
      <c r="Y35" s="25"/>
      <c r="Z35" s="25"/>
      <c r="AA35" s="25"/>
    </row>
    <row r="36">
      <c r="A36" s="24"/>
      <c r="B36" s="24" t="s">
        <v>51</v>
      </c>
      <c r="C36" s="24" t="s">
        <v>192</v>
      </c>
      <c r="D36" s="26" t="s">
        <v>147</v>
      </c>
      <c r="E36" s="25"/>
      <c r="F36" s="24" t="s">
        <v>193</v>
      </c>
      <c r="G36" s="24" t="s">
        <v>194</v>
      </c>
      <c r="H36" s="25"/>
      <c r="I36" s="25"/>
      <c r="J36" s="25"/>
      <c r="K36" s="25"/>
      <c r="L36" s="25"/>
      <c r="M36" s="25"/>
      <c r="N36" s="25"/>
      <c r="O36" s="25"/>
      <c r="P36" s="25"/>
      <c r="Q36" s="25"/>
      <c r="R36" s="25"/>
      <c r="S36" s="25"/>
      <c r="T36" s="25"/>
      <c r="U36" s="25"/>
      <c r="V36" s="25"/>
      <c r="W36" s="25"/>
      <c r="X36" s="25"/>
      <c r="Y36" s="25"/>
      <c r="Z36" s="25"/>
      <c r="AA36" s="25"/>
    </row>
    <row r="37">
      <c r="A37" s="24"/>
      <c r="B37" s="24" t="s">
        <v>52</v>
      </c>
      <c r="C37" s="24" t="s">
        <v>195</v>
      </c>
      <c r="D37" s="26" t="s">
        <v>147</v>
      </c>
      <c r="E37" s="25"/>
      <c r="F37" s="24" t="s">
        <v>196</v>
      </c>
      <c r="G37" s="25"/>
      <c r="H37" s="25"/>
      <c r="I37" s="25"/>
      <c r="J37" s="25"/>
      <c r="K37" s="25"/>
      <c r="L37" s="25"/>
      <c r="M37" s="25"/>
      <c r="N37" s="25"/>
      <c r="O37" s="25"/>
      <c r="P37" s="25"/>
      <c r="Q37" s="25"/>
      <c r="R37" s="25"/>
      <c r="S37" s="25"/>
      <c r="T37" s="25"/>
      <c r="U37" s="25"/>
      <c r="V37" s="25"/>
      <c r="W37" s="25"/>
      <c r="X37" s="25"/>
      <c r="Y37" s="25"/>
      <c r="Z37" s="25"/>
      <c r="AA37" s="25"/>
    </row>
    <row r="38">
      <c r="A38" s="24"/>
      <c r="B38" s="25"/>
      <c r="C38" s="25"/>
      <c r="D38" s="25"/>
      <c r="E38" s="25"/>
      <c r="F38" s="25"/>
      <c r="G38" s="25"/>
      <c r="H38" s="25"/>
      <c r="I38" s="25"/>
      <c r="J38" s="25"/>
      <c r="K38" s="25"/>
      <c r="L38" s="25"/>
      <c r="M38" s="25"/>
      <c r="N38" s="25"/>
      <c r="O38" s="25"/>
      <c r="P38" s="25"/>
      <c r="Q38" s="25"/>
      <c r="R38" s="25"/>
      <c r="S38" s="25"/>
      <c r="T38" s="25"/>
      <c r="U38" s="25"/>
      <c r="V38" s="25"/>
      <c r="W38" s="25"/>
      <c r="X38" s="25"/>
      <c r="Y38" s="25"/>
      <c r="Z38" s="25"/>
      <c r="AA38" s="25"/>
    </row>
    <row r="39">
      <c r="A39" s="24"/>
      <c r="B39" s="25"/>
      <c r="C39" s="25"/>
      <c r="D39" s="25"/>
      <c r="E39" s="25"/>
      <c r="F39" s="25"/>
      <c r="G39" s="25"/>
      <c r="H39" s="25"/>
      <c r="I39" s="25"/>
      <c r="J39" s="25"/>
      <c r="K39" s="25"/>
      <c r="L39" s="25"/>
      <c r="M39" s="25"/>
      <c r="N39" s="25"/>
      <c r="O39" s="25"/>
      <c r="P39" s="25"/>
      <c r="Q39" s="25"/>
      <c r="R39" s="25"/>
      <c r="S39" s="25"/>
      <c r="T39" s="25"/>
      <c r="U39" s="25"/>
      <c r="V39" s="25"/>
      <c r="W39" s="25"/>
      <c r="X39" s="25"/>
      <c r="Y39" s="25"/>
      <c r="Z39" s="25"/>
      <c r="AA39" s="25"/>
    </row>
    <row r="40" ht="118.5" customHeight="1">
      <c r="A40" s="24" t="s">
        <v>53</v>
      </c>
      <c r="B40" s="25"/>
      <c r="C40" s="24" t="s">
        <v>197</v>
      </c>
      <c r="D40" s="24"/>
      <c r="E40" s="24" t="s">
        <v>198</v>
      </c>
      <c r="F40" s="24" t="s">
        <v>199</v>
      </c>
      <c r="G40" s="28" t="s">
        <v>200</v>
      </c>
      <c r="H40" s="25"/>
      <c r="I40" s="25"/>
      <c r="J40" s="25"/>
      <c r="K40" s="25"/>
      <c r="L40" s="25"/>
      <c r="M40" s="25"/>
      <c r="N40" s="25"/>
      <c r="O40" s="25"/>
      <c r="P40" s="25"/>
      <c r="Q40" s="25"/>
      <c r="R40" s="25"/>
      <c r="S40" s="25"/>
      <c r="T40" s="25"/>
      <c r="U40" s="25"/>
      <c r="V40" s="25"/>
      <c r="W40" s="25"/>
      <c r="X40" s="25"/>
      <c r="Y40" s="25"/>
      <c r="Z40" s="25"/>
      <c r="AA40" s="25"/>
    </row>
    <row r="41">
      <c r="A41" s="24"/>
      <c r="B41" s="24" t="s">
        <v>54</v>
      </c>
      <c r="C41" s="24" t="s">
        <v>201</v>
      </c>
      <c r="D41" s="25"/>
      <c r="E41" s="25"/>
      <c r="F41" s="25"/>
      <c r="G41" s="24"/>
      <c r="H41" s="25"/>
      <c r="I41" s="25"/>
      <c r="J41" s="25"/>
      <c r="K41" s="25"/>
      <c r="L41" s="25"/>
      <c r="M41" s="25"/>
      <c r="N41" s="25"/>
      <c r="O41" s="25"/>
      <c r="P41" s="25"/>
      <c r="Q41" s="25"/>
      <c r="R41" s="25"/>
      <c r="S41" s="25"/>
      <c r="T41" s="25"/>
      <c r="U41" s="25"/>
      <c r="V41" s="25"/>
      <c r="W41" s="25"/>
      <c r="X41" s="25"/>
      <c r="Y41" s="25"/>
      <c r="Z41" s="25"/>
      <c r="AA41" s="25"/>
    </row>
    <row r="42">
      <c r="A42" s="24"/>
      <c r="B42" s="24" t="s">
        <v>55</v>
      </c>
      <c r="C42" s="24" t="s">
        <v>202</v>
      </c>
      <c r="D42" s="26" t="s">
        <v>147</v>
      </c>
      <c r="E42" s="25"/>
      <c r="F42" s="25"/>
      <c r="G42" s="24" t="s">
        <v>203</v>
      </c>
      <c r="H42" s="25"/>
      <c r="I42" s="25"/>
      <c r="J42" s="25"/>
      <c r="K42" s="25"/>
      <c r="L42" s="25"/>
      <c r="M42" s="25"/>
      <c r="N42" s="25"/>
      <c r="O42" s="25"/>
      <c r="P42" s="25"/>
      <c r="Q42" s="25"/>
      <c r="R42" s="25"/>
      <c r="S42" s="25"/>
      <c r="T42" s="25"/>
      <c r="U42" s="25"/>
      <c r="V42" s="25"/>
      <c r="W42" s="25"/>
      <c r="X42" s="25"/>
      <c r="Y42" s="25"/>
      <c r="Z42" s="25"/>
      <c r="AA42" s="25"/>
    </row>
    <row r="43" ht="92.25" customHeight="1">
      <c r="A43" s="24" t="s">
        <v>56</v>
      </c>
      <c r="B43" s="25"/>
      <c r="C43" s="24" t="s">
        <v>204</v>
      </c>
      <c r="D43" s="24"/>
      <c r="E43" s="24" t="s">
        <v>205</v>
      </c>
      <c r="F43" s="24" t="s">
        <v>206</v>
      </c>
      <c r="G43" s="24" t="s">
        <v>207</v>
      </c>
      <c r="H43" s="25"/>
      <c r="I43" s="25"/>
      <c r="J43" s="25"/>
      <c r="K43" s="25"/>
      <c r="L43" s="25"/>
      <c r="M43" s="25"/>
      <c r="N43" s="25"/>
      <c r="O43" s="25"/>
      <c r="P43" s="25"/>
      <c r="Q43" s="25"/>
      <c r="R43" s="25"/>
      <c r="S43" s="25"/>
      <c r="T43" s="25"/>
      <c r="U43" s="25"/>
      <c r="V43" s="25"/>
      <c r="W43" s="25"/>
      <c r="X43" s="25"/>
      <c r="Y43" s="25"/>
      <c r="Z43" s="25"/>
      <c r="AA43" s="25"/>
    </row>
    <row r="44">
      <c r="A44" s="24"/>
      <c r="B44" s="24" t="s">
        <v>57</v>
      </c>
      <c r="C44" s="29" t="s">
        <v>208</v>
      </c>
      <c r="D44" s="26" t="s">
        <v>147</v>
      </c>
      <c r="E44" s="25"/>
      <c r="F44" s="25"/>
      <c r="G44" s="24" t="s">
        <v>209</v>
      </c>
      <c r="H44" s="25"/>
      <c r="I44" s="25"/>
      <c r="J44" s="25"/>
      <c r="K44" s="25"/>
      <c r="L44" s="25"/>
      <c r="M44" s="25"/>
      <c r="N44" s="25"/>
      <c r="O44" s="25"/>
      <c r="P44" s="25"/>
      <c r="Q44" s="25"/>
      <c r="R44" s="25"/>
      <c r="S44" s="25"/>
      <c r="T44" s="25"/>
      <c r="U44" s="25"/>
      <c r="V44" s="25"/>
      <c r="W44" s="25"/>
      <c r="X44" s="25"/>
      <c r="Y44" s="25"/>
      <c r="Z44" s="25"/>
      <c r="AA44" s="25"/>
    </row>
    <row r="45">
      <c r="A45" s="24"/>
      <c r="B45" s="24" t="s">
        <v>58</v>
      </c>
      <c r="C45" s="24" t="s">
        <v>210</v>
      </c>
      <c r="D45" s="27" t="s">
        <v>150</v>
      </c>
      <c r="E45" s="25"/>
      <c r="F45" s="25"/>
      <c r="G45" s="24" t="s">
        <v>209</v>
      </c>
      <c r="H45" s="25"/>
      <c r="I45" s="25"/>
      <c r="J45" s="25"/>
      <c r="K45" s="25"/>
      <c r="L45" s="25"/>
      <c r="M45" s="25"/>
      <c r="N45" s="25"/>
      <c r="O45" s="25"/>
      <c r="P45" s="25"/>
      <c r="Q45" s="25"/>
      <c r="R45" s="25"/>
      <c r="S45" s="25"/>
      <c r="T45" s="25"/>
      <c r="U45" s="25"/>
      <c r="V45" s="25"/>
      <c r="W45" s="25"/>
      <c r="X45" s="25"/>
      <c r="Y45" s="25"/>
      <c r="Z45" s="25"/>
      <c r="AA45" s="25"/>
    </row>
    <row r="46">
      <c r="A46" s="24"/>
      <c r="B46" s="24" t="s">
        <v>59</v>
      </c>
      <c r="C46" s="24" t="s">
        <v>211</v>
      </c>
      <c r="D46" s="24"/>
      <c r="E46" s="25"/>
      <c r="F46" s="25"/>
      <c r="G46" s="24" t="s">
        <v>212</v>
      </c>
      <c r="H46" s="25"/>
      <c r="I46" s="25"/>
      <c r="J46" s="25"/>
      <c r="K46" s="25"/>
      <c r="L46" s="25"/>
      <c r="M46" s="25"/>
      <c r="N46" s="25"/>
      <c r="O46" s="25"/>
      <c r="P46" s="25"/>
      <c r="Q46" s="25"/>
      <c r="R46" s="25"/>
      <c r="S46" s="25"/>
      <c r="T46" s="25"/>
      <c r="U46" s="25"/>
      <c r="V46" s="25"/>
      <c r="W46" s="25"/>
      <c r="X46" s="25"/>
      <c r="Y46" s="25"/>
      <c r="Z46" s="25"/>
      <c r="AA46" s="25"/>
    </row>
    <row r="47">
      <c r="A47" s="24"/>
      <c r="B47" s="24" t="s">
        <v>60</v>
      </c>
      <c r="C47" s="24" t="s">
        <v>213</v>
      </c>
      <c r="D47" s="25"/>
      <c r="E47" s="25"/>
      <c r="F47" s="25"/>
      <c r="G47" s="24"/>
      <c r="H47" s="25"/>
      <c r="I47" s="25"/>
      <c r="J47" s="25"/>
      <c r="K47" s="25"/>
      <c r="L47" s="25"/>
      <c r="M47" s="25"/>
      <c r="N47" s="25"/>
      <c r="O47" s="25"/>
      <c r="P47" s="25"/>
      <c r="Q47" s="25"/>
      <c r="R47" s="25"/>
      <c r="S47" s="25"/>
      <c r="T47" s="25"/>
      <c r="U47" s="25"/>
      <c r="V47" s="25"/>
      <c r="W47" s="25"/>
      <c r="X47" s="25"/>
      <c r="Y47" s="25"/>
      <c r="Z47" s="25"/>
      <c r="AA47" s="25"/>
    </row>
    <row r="48">
      <c r="A48" s="25"/>
      <c r="B48" s="24" t="s">
        <v>62</v>
      </c>
      <c r="C48" s="24" t="s">
        <v>214</v>
      </c>
      <c r="D48" s="26" t="s">
        <v>147</v>
      </c>
      <c r="E48" s="25"/>
      <c r="F48" s="25"/>
      <c r="G48" s="24" t="s">
        <v>215</v>
      </c>
      <c r="H48" s="25"/>
      <c r="I48" s="25"/>
      <c r="J48" s="25"/>
      <c r="K48" s="25"/>
      <c r="L48" s="25"/>
      <c r="M48" s="25"/>
      <c r="N48" s="25"/>
      <c r="O48" s="25"/>
      <c r="P48" s="25"/>
      <c r="Q48" s="25"/>
      <c r="R48" s="25"/>
      <c r="S48" s="25"/>
      <c r="T48" s="25"/>
      <c r="U48" s="25"/>
      <c r="V48" s="25"/>
      <c r="W48" s="25"/>
      <c r="X48" s="25"/>
      <c r="Y48" s="25"/>
      <c r="Z48" s="25"/>
      <c r="AA48" s="25"/>
    </row>
    <row r="49" ht="216.75" customHeight="1">
      <c r="A49" s="24" t="s">
        <v>63</v>
      </c>
      <c r="B49" s="25"/>
      <c r="C49" s="24" t="s">
        <v>216</v>
      </c>
      <c r="D49" s="26" t="s">
        <v>147</v>
      </c>
      <c r="E49" s="24" t="s">
        <v>205</v>
      </c>
      <c r="F49" s="24" t="s">
        <v>217</v>
      </c>
      <c r="G49" s="24" t="s">
        <v>218</v>
      </c>
      <c r="H49" s="25"/>
      <c r="I49" s="25"/>
      <c r="J49" s="25"/>
      <c r="K49" s="25"/>
      <c r="L49" s="25"/>
      <c r="M49" s="25"/>
      <c r="N49" s="25"/>
      <c r="O49" s="25"/>
      <c r="P49" s="25"/>
      <c r="Q49" s="25"/>
      <c r="R49" s="25"/>
      <c r="S49" s="25"/>
      <c r="T49" s="25"/>
      <c r="U49" s="25"/>
      <c r="V49" s="25"/>
      <c r="W49" s="25"/>
      <c r="X49" s="25"/>
      <c r="Y49" s="25"/>
      <c r="Z49" s="25"/>
      <c r="AA49" s="25"/>
    </row>
    <row r="50">
      <c r="A50" s="24"/>
      <c r="B50" s="24" t="s">
        <v>64</v>
      </c>
      <c r="C50" s="24" t="s">
        <v>219</v>
      </c>
      <c r="D50" s="27" t="s">
        <v>150</v>
      </c>
      <c r="E50" s="25"/>
      <c r="F50" s="25"/>
      <c r="G50" s="24" t="s">
        <v>220</v>
      </c>
      <c r="H50" s="25"/>
      <c r="I50" s="25"/>
      <c r="J50" s="25"/>
      <c r="K50" s="25"/>
      <c r="L50" s="25"/>
      <c r="M50" s="25"/>
      <c r="N50" s="25"/>
      <c r="O50" s="25"/>
      <c r="P50" s="25"/>
      <c r="Q50" s="25"/>
      <c r="R50" s="25"/>
      <c r="S50" s="25"/>
      <c r="T50" s="25"/>
      <c r="U50" s="25"/>
      <c r="V50" s="25"/>
      <c r="W50" s="25"/>
      <c r="X50" s="25"/>
      <c r="Y50" s="25"/>
      <c r="Z50" s="25"/>
      <c r="AA50" s="25"/>
    </row>
    <row r="51">
      <c r="A51" s="24"/>
      <c r="B51" s="24" t="s">
        <v>65</v>
      </c>
      <c r="C51" s="24" t="s">
        <v>221</v>
      </c>
      <c r="D51" s="25"/>
      <c r="E51" s="25"/>
      <c r="F51" s="25"/>
      <c r="G51" s="24"/>
      <c r="H51" s="25"/>
      <c r="I51" s="25"/>
      <c r="J51" s="25"/>
      <c r="K51" s="25"/>
      <c r="L51" s="25"/>
      <c r="M51" s="25"/>
      <c r="N51" s="25"/>
      <c r="O51" s="25"/>
      <c r="P51" s="25"/>
      <c r="Q51" s="25"/>
      <c r="R51" s="25"/>
      <c r="S51" s="25"/>
      <c r="T51" s="25"/>
      <c r="U51" s="25"/>
      <c r="V51" s="25"/>
      <c r="W51" s="25"/>
      <c r="X51" s="25"/>
      <c r="Y51" s="25"/>
      <c r="Z51" s="25"/>
      <c r="AA51" s="25"/>
    </row>
    <row r="52" ht="60.75" customHeight="1">
      <c r="A52" s="24"/>
      <c r="B52" s="24" t="s">
        <v>66</v>
      </c>
      <c r="C52" s="24" t="s">
        <v>222</v>
      </c>
      <c r="D52" s="26" t="s">
        <v>147</v>
      </c>
      <c r="E52" s="25"/>
      <c r="F52" s="25"/>
      <c r="G52" s="24" t="s">
        <v>223</v>
      </c>
      <c r="H52" s="25"/>
      <c r="I52" s="25"/>
      <c r="J52" s="25"/>
      <c r="K52" s="25"/>
      <c r="L52" s="25"/>
      <c r="M52" s="25"/>
      <c r="N52" s="25"/>
      <c r="O52" s="25"/>
      <c r="P52" s="25"/>
      <c r="Q52" s="25"/>
      <c r="R52" s="25"/>
      <c r="S52" s="25"/>
      <c r="T52" s="25"/>
      <c r="U52" s="25"/>
      <c r="V52" s="25"/>
      <c r="W52" s="25"/>
      <c r="X52" s="25"/>
      <c r="Y52" s="25"/>
      <c r="Z52" s="25"/>
      <c r="AA52" s="25"/>
    </row>
    <row r="53" ht="143.25" customHeight="1">
      <c r="A53" s="24" t="s">
        <v>67</v>
      </c>
      <c r="B53" s="25"/>
      <c r="C53" s="24" t="s">
        <v>224</v>
      </c>
      <c r="D53" s="27" t="s">
        <v>225</v>
      </c>
      <c r="E53" s="24" t="s">
        <v>226</v>
      </c>
      <c r="F53" s="24" t="s">
        <v>227</v>
      </c>
      <c r="G53" s="24" t="s">
        <v>228</v>
      </c>
      <c r="H53" s="25"/>
      <c r="I53" s="25"/>
      <c r="J53" s="25"/>
      <c r="K53" s="25"/>
      <c r="L53" s="25"/>
      <c r="M53" s="25"/>
      <c r="N53" s="25"/>
      <c r="O53" s="25"/>
      <c r="P53" s="25"/>
      <c r="Q53" s="25"/>
      <c r="R53" s="25"/>
      <c r="S53" s="25"/>
      <c r="T53" s="25"/>
      <c r="U53" s="25"/>
      <c r="V53" s="25"/>
      <c r="W53" s="25"/>
      <c r="X53" s="25"/>
      <c r="Y53" s="25"/>
      <c r="Z53" s="25"/>
      <c r="AA53" s="25"/>
    </row>
    <row r="54">
      <c r="A54" s="24"/>
      <c r="B54" s="24" t="s">
        <v>68</v>
      </c>
      <c r="C54" s="24" t="s">
        <v>229</v>
      </c>
      <c r="D54" s="27" t="s">
        <v>225</v>
      </c>
      <c r="E54" s="25"/>
      <c r="F54" s="25"/>
      <c r="G54" s="24"/>
      <c r="H54" s="25"/>
      <c r="I54" s="25"/>
      <c r="J54" s="25"/>
      <c r="K54" s="25"/>
      <c r="L54" s="25"/>
      <c r="M54" s="25"/>
      <c r="N54" s="25"/>
      <c r="O54" s="25"/>
      <c r="P54" s="25"/>
      <c r="Q54" s="25"/>
      <c r="R54" s="25"/>
      <c r="S54" s="25"/>
      <c r="T54" s="25"/>
      <c r="U54" s="25"/>
      <c r="V54" s="25"/>
      <c r="W54" s="25"/>
      <c r="X54" s="25"/>
      <c r="Y54" s="25"/>
      <c r="Z54" s="25"/>
      <c r="AA54" s="25"/>
    </row>
    <row r="55">
      <c r="A55" s="24"/>
      <c r="B55" s="24" t="s">
        <v>69</v>
      </c>
      <c r="C55" s="24" t="s">
        <v>230</v>
      </c>
      <c r="D55" s="25"/>
      <c r="E55" s="25"/>
      <c r="F55" s="25"/>
      <c r="G55" s="25"/>
      <c r="H55" s="25"/>
      <c r="I55" s="25"/>
      <c r="J55" s="25"/>
      <c r="K55" s="25"/>
      <c r="L55" s="25"/>
      <c r="M55" s="25"/>
      <c r="N55" s="25"/>
      <c r="O55" s="25"/>
      <c r="P55" s="25"/>
      <c r="Q55" s="25"/>
      <c r="R55" s="25"/>
      <c r="S55" s="25"/>
      <c r="T55" s="25"/>
      <c r="U55" s="25"/>
      <c r="V55" s="25"/>
      <c r="W55" s="25"/>
      <c r="X55" s="25"/>
      <c r="Y55" s="25"/>
      <c r="Z55" s="25"/>
      <c r="AA55" s="25"/>
    </row>
    <row r="56" ht="82.5" customHeight="1">
      <c r="A56" s="24" t="s">
        <v>70</v>
      </c>
      <c r="B56" s="25"/>
      <c r="C56" s="24" t="s">
        <v>231</v>
      </c>
      <c r="D56" s="24"/>
      <c r="E56" s="24" t="s">
        <v>232</v>
      </c>
      <c r="F56" s="24" t="s">
        <v>233</v>
      </c>
      <c r="G56" s="24" t="s">
        <v>234</v>
      </c>
      <c r="H56" s="25"/>
      <c r="I56" s="25"/>
      <c r="J56" s="25"/>
      <c r="K56" s="25"/>
      <c r="L56" s="25"/>
      <c r="M56" s="25"/>
      <c r="N56" s="25"/>
      <c r="O56" s="25"/>
      <c r="P56" s="25"/>
      <c r="Q56" s="25"/>
      <c r="R56" s="25"/>
      <c r="S56" s="25"/>
      <c r="T56" s="25"/>
      <c r="U56" s="25"/>
      <c r="V56" s="25"/>
      <c r="W56" s="25"/>
      <c r="X56" s="25"/>
      <c r="Y56" s="25"/>
      <c r="Z56" s="25"/>
      <c r="AA56" s="25"/>
    </row>
    <row r="57" ht="51.75" customHeight="1">
      <c r="A57" s="24"/>
      <c r="B57" s="24" t="s">
        <v>71</v>
      </c>
      <c r="C57" s="24" t="s">
        <v>235</v>
      </c>
      <c r="D57" s="26" t="s">
        <v>147</v>
      </c>
      <c r="E57" s="25"/>
      <c r="F57" s="25"/>
      <c r="G57" s="24" t="s">
        <v>236</v>
      </c>
      <c r="H57" s="25"/>
      <c r="I57" s="25"/>
      <c r="J57" s="25"/>
      <c r="K57" s="25"/>
      <c r="L57" s="25"/>
      <c r="M57" s="25"/>
      <c r="N57" s="25"/>
      <c r="O57" s="25"/>
      <c r="P57" s="25"/>
      <c r="Q57" s="25"/>
      <c r="R57" s="25"/>
      <c r="S57" s="25"/>
      <c r="T57" s="25"/>
      <c r="U57" s="25"/>
      <c r="V57" s="25"/>
      <c r="W57" s="25"/>
      <c r="X57" s="25"/>
      <c r="Y57" s="25"/>
      <c r="Z57" s="25"/>
      <c r="AA57" s="25"/>
    </row>
    <row r="58" ht="78.75" customHeight="1">
      <c r="A58" s="24"/>
      <c r="B58" s="24" t="s">
        <v>72</v>
      </c>
      <c r="C58" s="24" t="s">
        <v>237</v>
      </c>
      <c r="D58" s="25"/>
      <c r="E58" s="25"/>
      <c r="F58" s="25"/>
      <c r="G58" s="24"/>
      <c r="H58" s="25"/>
      <c r="I58" s="25"/>
      <c r="J58" s="25"/>
      <c r="K58" s="25"/>
      <c r="L58" s="25"/>
      <c r="M58" s="25"/>
      <c r="N58" s="25"/>
      <c r="O58" s="25"/>
      <c r="P58" s="25"/>
      <c r="Q58" s="25"/>
      <c r="R58" s="25"/>
      <c r="S58" s="25"/>
      <c r="T58" s="25"/>
      <c r="U58" s="25"/>
      <c r="V58" s="25"/>
      <c r="W58" s="25"/>
      <c r="X58" s="25"/>
      <c r="Y58" s="25"/>
      <c r="Z58" s="25"/>
      <c r="AA58" s="25"/>
    </row>
    <row r="59">
      <c r="A59" s="24" t="s">
        <v>73</v>
      </c>
      <c r="B59" s="25"/>
      <c r="C59" s="24" t="s">
        <v>238</v>
      </c>
      <c r="D59" s="24"/>
      <c r="E59" s="24" t="s">
        <v>239</v>
      </c>
      <c r="F59" s="24" t="s">
        <v>240</v>
      </c>
      <c r="G59" s="24" t="s">
        <v>241</v>
      </c>
      <c r="H59" s="25"/>
      <c r="I59" s="25"/>
      <c r="J59" s="25"/>
      <c r="K59" s="25"/>
      <c r="L59" s="25"/>
      <c r="M59" s="25"/>
      <c r="N59" s="25"/>
      <c r="O59" s="25"/>
      <c r="P59" s="25"/>
      <c r="Q59" s="25"/>
      <c r="R59" s="25"/>
      <c r="S59" s="25"/>
      <c r="T59" s="25"/>
      <c r="U59" s="25"/>
      <c r="V59" s="25"/>
      <c r="W59" s="25"/>
      <c r="X59" s="25"/>
      <c r="Y59" s="25"/>
      <c r="Z59" s="25"/>
      <c r="AA59" s="25"/>
    </row>
    <row r="60">
      <c r="A60" s="24"/>
      <c r="B60" s="24" t="s">
        <v>74</v>
      </c>
      <c r="C60" s="24" t="s">
        <v>242</v>
      </c>
      <c r="D60" s="26" t="s">
        <v>147</v>
      </c>
      <c r="E60" s="25"/>
      <c r="F60" s="25"/>
      <c r="G60" s="24" t="s">
        <v>243</v>
      </c>
      <c r="H60" s="25"/>
      <c r="I60" s="25"/>
      <c r="J60" s="25"/>
      <c r="K60" s="25"/>
      <c r="L60" s="25"/>
      <c r="M60" s="25"/>
      <c r="N60" s="25"/>
      <c r="O60" s="25"/>
      <c r="P60" s="25"/>
      <c r="Q60" s="25"/>
      <c r="R60" s="25"/>
      <c r="S60" s="25"/>
      <c r="T60" s="25"/>
      <c r="U60" s="25"/>
      <c r="V60" s="25"/>
      <c r="W60" s="25"/>
      <c r="X60" s="25"/>
      <c r="Y60" s="25"/>
      <c r="Z60" s="25"/>
      <c r="AA60" s="25"/>
    </row>
    <row r="61">
      <c r="A61" s="24"/>
      <c r="B61" s="24" t="s">
        <v>75</v>
      </c>
      <c r="C61" s="24" t="s">
        <v>244</v>
      </c>
      <c r="D61" s="25"/>
      <c r="E61" s="25"/>
      <c r="F61" s="25"/>
      <c r="G61" s="24"/>
      <c r="H61" s="25"/>
      <c r="I61" s="25"/>
      <c r="J61" s="25"/>
      <c r="K61" s="25"/>
      <c r="L61" s="25"/>
      <c r="M61" s="25"/>
      <c r="N61" s="25"/>
      <c r="O61" s="25"/>
      <c r="P61" s="25"/>
      <c r="Q61" s="25"/>
      <c r="R61" s="25"/>
      <c r="S61" s="25"/>
      <c r="T61" s="25"/>
      <c r="U61" s="25"/>
      <c r="V61" s="25"/>
      <c r="W61" s="25"/>
      <c r="X61" s="25"/>
      <c r="Y61" s="25"/>
      <c r="Z61" s="25"/>
      <c r="AA61" s="25"/>
    </row>
    <row r="62">
      <c r="A62" s="24"/>
      <c r="B62" s="24" t="s">
        <v>76</v>
      </c>
      <c r="C62" s="24" t="s">
        <v>245</v>
      </c>
      <c r="D62" s="25"/>
      <c r="E62" s="25"/>
      <c r="F62" s="25"/>
      <c r="G62" s="24"/>
      <c r="H62" s="25"/>
      <c r="I62" s="25"/>
      <c r="J62" s="25"/>
      <c r="K62" s="25"/>
      <c r="L62" s="25"/>
      <c r="M62" s="25"/>
      <c r="N62" s="25"/>
      <c r="O62" s="25"/>
      <c r="P62" s="25"/>
      <c r="Q62" s="25"/>
      <c r="R62" s="25"/>
      <c r="S62" s="25"/>
      <c r="T62" s="25"/>
      <c r="U62" s="25"/>
      <c r="V62" s="25"/>
      <c r="W62" s="25"/>
      <c r="X62" s="25"/>
      <c r="Y62" s="25"/>
      <c r="Z62" s="25"/>
      <c r="AA62" s="25"/>
    </row>
    <row r="63">
      <c r="A63" s="24"/>
      <c r="B63" s="24" t="s">
        <v>77</v>
      </c>
      <c r="C63" s="24" t="s">
        <v>246</v>
      </c>
      <c r="D63" s="26" t="s">
        <v>147</v>
      </c>
      <c r="E63" s="25"/>
      <c r="F63" s="25"/>
      <c r="G63" s="24" t="s">
        <v>247</v>
      </c>
      <c r="H63" s="25"/>
      <c r="I63" s="25"/>
      <c r="J63" s="25"/>
      <c r="K63" s="25"/>
      <c r="L63" s="25"/>
      <c r="M63" s="25"/>
      <c r="N63" s="25"/>
      <c r="O63" s="25"/>
      <c r="P63" s="25"/>
      <c r="Q63" s="25"/>
      <c r="R63" s="25"/>
      <c r="S63" s="25"/>
      <c r="T63" s="25"/>
      <c r="U63" s="25"/>
      <c r="V63" s="25"/>
      <c r="W63" s="25"/>
      <c r="X63" s="25"/>
      <c r="Y63" s="25"/>
      <c r="Z63" s="25"/>
      <c r="AA63" s="25"/>
    </row>
    <row r="64" ht="99.0" customHeight="1">
      <c r="A64" s="24" t="s">
        <v>78</v>
      </c>
      <c r="B64" s="25"/>
      <c r="C64" s="24" t="s">
        <v>248</v>
      </c>
      <c r="D64" s="24"/>
      <c r="E64" s="24" t="s">
        <v>249</v>
      </c>
      <c r="F64" s="24" t="s">
        <v>250</v>
      </c>
      <c r="G64" s="24" t="s">
        <v>251</v>
      </c>
      <c r="H64" s="25"/>
      <c r="I64" s="25"/>
      <c r="J64" s="25"/>
      <c r="K64" s="25"/>
      <c r="L64" s="25"/>
      <c r="M64" s="25"/>
      <c r="N64" s="25"/>
      <c r="O64" s="25"/>
      <c r="P64" s="25"/>
      <c r="Q64" s="25"/>
      <c r="R64" s="25"/>
      <c r="S64" s="25"/>
      <c r="T64" s="25"/>
      <c r="U64" s="25"/>
      <c r="V64" s="25"/>
      <c r="W64" s="25"/>
      <c r="X64" s="25"/>
      <c r="Y64" s="25"/>
      <c r="Z64" s="25"/>
      <c r="AA64" s="25"/>
    </row>
    <row r="65">
      <c r="A65" s="24"/>
      <c r="B65" s="24" t="s">
        <v>79</v>
      </c>
      <c r="C65" s="24" t="s">
        <v>252</v>
      </c>
      <c r="D65" s="26" t="s">
        <v>147</v>
      </c>
      <c r="E65" s="25"/>
      <c r="F65" s="25"/>
      <c r="G65" s="24" t="s">
        <v>247</v>
      </c>
      <c r="H65" s="25"/>
      <c r="I65" s="25"/>
      <c r="J65" s="25"/>
      <c r="K65" s="25"/>
      <c r="L65" s="25"/>
      <c r="M65" s="25"/>
      <c r="N65" s="25"/>
      <c r="O65" s="25"/>
      <c r="P65" s="25"/>
      <c r="Q65" s="25"/>
      <c r="R65" s="25"/>
      <c r="S65" s="25"/>
      <c r="T65" s="25"/>
      <c r="U65" s="25"/>
      <c r="V65" s="25"/>
      <c r="W65" s="25"/>
      <c r="X65" s="25"/>
      <c r="Y65" s="25"/>
      <c r="Z65" s="25"/>
      <c r="AA65" s="25"/>
    </row>
    <row r="66">
      <c r="A66" s="24"/>
      <c r="B66" s="24" t="s">
        <v>80</v>
      </c>
      <c r="C66" s="24" t="s">
        <v>253</v>
      </c>
      <c r="D66" s="25"/>
      <c r="E66" s="25"/>
      <c r="F66" s="25"/>
      <c r="G66" s="25"/>
      <c r="H66" s="25"/>
      <c r="I66" s="25"/>
      <c r="J66" s="25"/>
      <c r="K66" s="25"/>
      <c r="L66" s="25"/>
      <c r="M66" s="25"/>
      <c r="N66" s="25"/>
      <c r="O66" s="25"/>
      <c r="P66" s="25"/>
      <c r="Q66" s="25"/>
      <c r="R66" s="25"/>
      <c r="S66" s="25"/>
      <c r="T66" s="25"/>
      <c r="U66" s="25"/>
      <c r="V66" s="25"/>
      <c r="W66" s="25"/>
      <c r="X66" s="25"/>
      <c r="Y66" s="25"/>
      <c r="Z66" s="25"/>
      <c r="AA66" s="25"/>
    </row>
    <row r="67">
      <c r="A67" s="24"/>
      <c r="B67" s="24" t="s">
        <v>81</v>
      </c>
      <c r="C67" s="24" t="s">
        <v>254</v>
      </c>
      <c r="D67" s="26" t="s">
        <v>147</v>
      </c>
      <c r="E67" s="25"/>
      <c r="F67" s="25"/>
      <c r="G67" s="24" t="s">
        <v>255</v>
      </c>
      <c r="H67" s="25"/>
      <c r="I67" s="25"/>
      <c r="J67" s="25"/>
      <c r="K67" s="25"/>
      <c r="L67" s="25"/>
      <c r="M67" s="25"/>
      <c r="N67" s="25"/>
      <c r="O67" s="25"/>
      <c r="P67" s="25"/>
      <c r="Q67" s="25"/>
      <c r="R67" s="25"/>
      <c r="S67" s="25"/>
      <c r="T67" s="25"/>
      <c r="U67" s="25"/>
      <c r="V67" s="25"/>
      <c r="W67" s="25"/>
      <c r="X67" s="25"/>
      <c r="Y67" s="25"/>
      <c r="Z67" s="25"/>
      <c r="AA67" s="25"/>
    </row>
    <row r="68">
      <c r="A68" s="24"/>
      <c r="B68" s="24" t="s">
        <v>82</v>
      </c>
      <c r="C68" s="24" t="s">
        <v>256</v>
      </c>
      <c r="D68" s="26" t="s">
        <v>147</v>
      </c>
      <c r="E68" s="25"/>
      <c r="F68" s="25"/>
      <c r="G68" s="24" t="s">
        <v>257</v>
      </c>
      <c r="H68" s="25"/>
      <c r="I68" s="25"/>
      <c r="J68" s="25"/>
      <c r="K68" s="25"/>
      <c r="L68" s="25"/>
      <c r="M68" s="25"/>
      <c r="N68" s="25"/>
      <c r="O68" s="25"/>
      <c r="P68" s="25"/>
      <c r="Q68" s="25"/>
      <c r="R68" s="25"/>
      <c r="S68" s="25"/>
      <c r="T68" s="25"/>
      <c r="U68" s="25"/>
      <c r="V68" s="25"/>
      <c r="W68" s="25"/>
      <c r="X68" s="25"/>
      <c r="Y68" s="25"/>
      <c r="Z68" s="25"/>
      <c r="AA68" s="25"/>
    </row>
    <row r="69">
      <c r="A69" s="24"/>
      <c r="B69" s="24" t="s">
        <v>83</v>
      </c>
      <c r="C69" s="24" t="s">
        <v>258</v>
      </c>
      <c r="D69" s="25"/>
      <c r="E69" s="25"/>
      <c r="F69" s="25"/>
      <c r="G69" s="25"/>
      <c r="H69" s="25"/>
      <c r="I69" s="25"/>
      <c r="J69" s="25"/>
      <c r="K69" s="25"/>
      <c r="L69" s="25"/>
      <c r="M69" s="25"/>
      <c r="N69" s="25"/>
      <c r="O69" s="25"/>
      <c r="P69" s="25"/>
      <c r="Q69" s="25"/>
      <c r="R69" s="25"/>
      <c r="S69" s="25"/>
      <c r="T69" s="25"/>
      <c r="U69" s="25"/>
      <c r="V69" s="25"/>
      <c r="W69" s="25"/>
      <c r="X69" s="25"/>
      <c r="Y69" s="25"/>
      <c r="Z69" s="25"/>
      <c r="AA69" s="25"/>
    </row>
    <row r="70">
      <c r="A70" s="24"/>
      <c r="B70" s="24" t="s">
        <v>84</v>
      </c>
      <c r="C70" s="24" t="s">
        <v>259</v>
      </c>
      <c r="D70" s="26" t="s">
        <v>147</v>
      </c>
      <c r="E70" s="25"/>
      <c r="F70" s="25"/>
      <c r="G70" s="24" t="s">
        <v>260</v>
      </c>
      <c r="H70" s="25"/>
      <c r="I70" s="25"/>
      <c r="J70" s="25"/>
      <c r="K70" s="25"/>
      <c r="L70" s="25"/>
      <c r="M70" s="25"/>
      <c r="N70" s="25"/>
      <c r="O70" s="25"/>
      <c r="P70" s="25"/>
      <c r="Q70" s="25"/>
      <c r="R70" s="25"/>
      <c r="S70" s="25"/>
      <c r="T70" s="25"/>
      <c r="U70" s="25"/>
      <c r="V70" s="25"/>
      <c r="W70" s="25"/>
      <c r="X70" s="25"/>
      <c r="Y70" s="25"/>
      <c r="Z70" s="25"/>
      <c r="AA70" s="25"/>
    </row>
    <row r="71">
      <c r="A71" s="24" t="s">
        <v>85</v>
      </c>
      <c r="B71" s="25"/>
      <c r="C71" s="25"/>
      <c r="D71" s="25"/>
      <c r="E71" s="25"/>
      <c r="F71" s="25"/>
      <c r="G71" s="25"/>
      <c r="H71" s="25"/>
      <c r="I71" s="25"/>
      <c r="J71" s="25"/>
      <c r="K71" s="25"/>
      <c r="L71" s="25"/>
      <c r="M71" s="25"/>
      <c r="N71" s="25"/>
      <c r="O71" s="25"/>
      <c r="P71" s="25"/>
      <c r="Q71" s="25"/>
      <c r="R71" s="25"/>
      <c r="S71" s="25"/>
      <c r="T71" s="25"/>
      <c r="U71" s="25"/>
      <c r="V71" s="25"/>
      <c r="W71" s="25"/>
      <c r="X71" s="25"/>
      <c r="Y71" s="25"/>
      <c r="Z71" s="25"/>
      <c r="AA71" s="25"/>
    </row>
    <row r="72">
      <c r="A72" s="24" t="s">
        <v>88</v>
      </c>
      <c r="B72" s="25"/>
      <c r="C72" s="25"/>
      <c r="D72" s="25"/>
      <c r="E72" s="25"/>
      <c r="F72" s="25"/>
      <c r="G72" s="25"/>
      <c r="H72" s="25"/>
      <c r="I72" s="25"/>
      <c r="J72" s="25"/>
      <c r="K72" s="25"/>
      <c r="L72" s="25"/>
      <c r="M72" s="25"/>
      <c r="N72" s="25"/>
      <c r="O72" s="25"/>
      <c r="P72" s="25"/>
      <c r="Q72" s="25"/>
      <c r="R72" s="25"/>
      <c r="S72" s="25"/>
      <c r="T72" s="25"/>
      <c r="U72" s="25"/>
      <c r="V72" s="25"/>
      <c r="W72" s="25"/>
      <c r="X72" s="25"/>
      <c r="Y72" s="25"/>
      <c r="Z72" s="25"/>
      <c r="AA72" s="25"/>
    </row>
    <row r="73">
      <c r="A73" s="24" t="s">
        <v>91</v>
      </c>
      <c r="B73" s="25"/>
      <c r="C73" s="25"/>
      <c r="D73" s="25"/>
      <c r="E73" s="25"/>
      <c r="F73" s="25"/>
      <c r="G73" s="25"/>
      <c r="H73" s="25"/>
      <c r="I73" s="25"/>
      <c r="J73" s="25"/>
      <c r="K73" s="25"/>
      <c r="L73" s="25"/>
      <c r="M73" s="25"/>
      <c r="N73" s="25"/>
      <c r="O73" s="25"/>
      <c r="P73" s="25"/>
      <c r="Q73" s="25"/>
      <c r="R73" s="25"/>
      <c r="S73" s="25"/>
      <c r="T73" s="25"/>
      <c r="U73" s="25"/>
      <c r="V73" s="25"/>
      <c r="W73" s="25"/>
      <c r="X73" s="25"/>
      <c r="Y73" s="25"/>
      <c r="Z73" s="25"/>
      <c r="AA73" s="25"/>
    </row>
    <row r="74">
      <c r="A74" s="24" t="s">
        <v>95</v>
      </c>
      <c r="B74" s="25"/>
      <c r="C74" s="25"/>
      <c r="D74" s="25"/>
      <c r="E74" s="25"/>
      <c r="F74" s="25"/>
      <c r="G74" s="25"/>
      <c r="H74" s="25"/>
      <c r="I74" s="25"/>
      <c r="J74" s="25"/>
      <c r="K74" s="25"/>
      <c r="L74" s="25"/>
      <c r="M74" s="25"/>
      <c r="N74" s="25"/>
      <c r="O74" s="25"/>
      <c r="P74" s="25"/>
      <c r="Q74" s="25"/>
      <c r="R74" s="25"/>
      <c r="S74" s="25"/>
      <c r="T74" s="25"/>
      <c r="U74" s="25"/>
      <c r="V74" s="25"/>
      <c r="W74" s="25"/>
      <c r="X74" s="25"/>
      <c r="Y74" s="25"/>
      <c r="Z74" s="25"/>
      <c r="AA74" s="25"/>
    </row>
    <row r="75">
      <c r="A75" s="24" t="s">
        <v>97</v>
      </c>
      <c r="B75" s="25"/>
      <c r="C75" s="24" t="s">
        <v>261</v>
      </c>
      <c r="D75" s="25"/>
      <c r="E75" s="25"/>
      <c r="F75" s="25"/>
      <c r="G75" s="25"/>
      <c r="H75" s="25"/>
      <c r="I75" s="25"/>
      <c r="J75" s="25"/>
      <c r="K75" s="25"/>
      <c r="L75" s="25"/>
      <c r="M75" s="25"/>
      <c r="N75" s="25"/>
      <c r="O75" s="25"/>
      <c r="P75" s="25"/>
      <c r="Q75" s="25"/>
      <c r="R75" s="25"/>
      <c r="S75" s="25"/>
      <c r="T75" s="25"/>
      <c r="U75" s="25"/>
      <c r="V75" s="25"/>
      <c r="W75" s="25"/>
      <c r="X75" s="25"/>
      <c r="Y75" s="25"/>
      <c r="Z75" s="25"/>
      <c r="AA75" s="25"/>
    </row>
    <row r="76">
      <c r="A76" s="24"/>
      <c r="B76" s="24" t="s">
        <v>98</v>
      </c>
      <c r="C76" s="24" t="s">
        <v>262</v>
      </c>
      <c r="D76" s="26" t="s">
        <v>147</v>
      </c>
      <c r="E76" s="24" t="s">
        <v>263</v>
      </c>
      <c r="F76" s="24" t="s">
        <v>264</v>
      </c>
      <c r="G76" s="24" t="s">
        <v>265</v>
      </c>
      <c r="H76" s="25"/>
      <c r="I76" s="25"/>
      <c r="J76" s="25"/>
      <c r="K76" s="25"/>
      <c r="L76" s="25"/>
      <c r="M76" s="25"/>
      <c r="N76" s="25"/>
      <c r="O76" s="25"/>
      <c r="P76" s="25"/>
      <c r="Q76" s="25"/>
      <c r="R76" s="25"/>
      <c r="S76" s="25"/>
      <c r="T76" s="25"/>
      <c r="U76" s="25"/>
      <c r="V76" s="25"/>
      <c r="W76" s="25"/>
      <c r="X76" s="25"/>
      <c r="Y76" s="25"/>
      <c r="Z76" s="25"/>
      <c r="AA76" s="25"/>
    </row>
    <row r="77">
      <c r="A77" s="24"/>
      <c r="B77" s="24" t="s">
        <v>99</v>
      </c>
      <c r="C77" s="24" t="s">
        <v>266</v>
      </c>
      <c r="D77" s="25"/>
      <c r="E77" s="25"/>
      <c r="F77" s="25"/>
      <c r="G77" s="25"/>
      <c r="H77" s="25"/>
      <c r="I77" s="25"/>
      <c r="J77" s="25"/>
      <c r="K77" s="25"/>
      <c r="L77" s="25"/>
      <c r="M77" s="25"/>
      <c r="N77" s="25"/>
      <c r="O77" s="25"/>
      <c r="P77" s="25"/>
      <c r="Q77" s="25"/>
      <c r="R77" s="25"/>
      <c r="S77" s="25"/>
      <c r="T77" s="25"/>
      <c r="U77" s="25"/>
      <c r="V77" s="25"/>
      <c r="W77" s="25"/>
      <c r="X77" s="25"/>
      <c r="Y77" s="25"/>
      <c r="Z77" s="25"/>
      <c r="AA77" s="25"/>
    </row>
    <row r="78">
      <c r="A78" s="24" t="s">
        <v>100</v>
      </c>
      <c r="B78" s="25"/>
      <c r="C78" s="24" t="s">
        <v>267</v>
      </c>
      <c r="D78" s="25"/>
      <c r="E78" s="25"/>
      <c r="F78" s="25"/>
      <c r="G78" s="25"/>
      <c r="H78" s="25"/>
      <c r="I78" s="25"/>
      <c r="J78" s="25"/>
      <c r="K78" s="25"/>
      <c r="L78" s="25"/>
      <c r="M78" s="25"/>
      <c r="N78" s="25"/>
      <c r="O78" s="25"/>
      <c r="P78" s="25"/>
      <c r="Q78" s="25"/>
      <c r="R78" s="25"/>
      <c r="S78" s="25"/>
      <c r="T78" s="25"/>
      <c r="U78" s="25"/>
      <c r="V78" s="25"/>
      <c r="W78" s="25"/>
      <c r="X78" s="25"/>
      <c r="Y78" s="25"/>
      <c r="Z78" s="25"/>
      <c r="AA78" s="25"/>
    </row>
    <row r="79">
      <c r="A79" s="30"/>
      <c r="B79" s="24" t="s">
        <v>101</v>
      </c>
      <c r="C79" s="24" t="s">
        <v>268</v>
      </c>
      <c r="D79" s="26" t="s">
        <v>147</v>
      </c>
      <c r="E79" s="25"/>
      <c r="F79" s="24" t="s">
        <v>269</v>
      </c>
      <c r="G79" s="24" t="s">
        <v>270</v>
      </c>
      <c r="H79" s="25"/>
      <c r="I79" s="25"/>
      <c r="J79" s="25"/>
      <c r="K79" s="25"/>
      <c r="L79" s="25"/>
      <c r="M79" s="25"/>
      <c r="N79" s="25"/>
      <c r="O79" s="25"/>
      <c r="P79" s="25"/>
      <c r="Q79" s="25"/>
      <c r="R79" s="25"/>
      <c r="S79" s="25"/>
      <c r="T79" s="25"/>
      <c r="U79" s="25"/>
      <c r="V79" s="25"/>
      <c r="W79" s="25"/>
      <c r="X79" s="25"/>
      <c r="Y79" s="25"/>
      <c r="Z79" s="25"/>
      <c r="AA79" s="25"/>
    </row>
    <row r="80">
      <c r="A80" s="24" t="s">
        <v>102</v>
      </c>
      <c r="B80" s="25"/>
      <c r="C80" s="24" t="s">
        <v>271</v>
      </c>
      <c r="D80" s="26" t="s">
        <v>147</v>
      </c>
      <c r="E80" s="24" t="s">
        <v>143</v>
      </c>
      <c r="F80" s="25"/>
      <c r="G80" s="24" t="s">
        <v>272</v>
      </c>
      <c r="H80" s="25"/>
      <c r="I80" s="25"/>
      <c r="J80" s="25"/>
      <c r="K80" s="25"/>
      <c r="L80" s="25"/>
      <c r="M80" s="25"/>
      <c r="N80" s="25"/>
      <c r="O80" s="25"/>
      <c r="P80" s="25"/>
      <c r="Q80" s="25"/>
      <c r="R80" s="25"/>
      <c r="S80" s="25"/>
      <c r="T80" s="25"/>
      <c r="U80" s="25"/>
      <c r="V80" s="25"/>
      <c r="W80" s="25"/>
      <c r="X80" s="25"/>
      <c r="Y80" s="25"/>
      <c r="Z80" s="25"/>
      <c r="AA80" s="25"/>
    </row>
    <row r="81">
      <c r="A81" s="24"/>
      <c r="B81" s="24" t="s">
        <v>103</v>
      </c>
      <c r="C81" s="24" t="s">
        <v>273</v>
      </c>
      <c r="D81" s="26" t="s">
        <v>147</v>
      </c>
      <c r="E81" s="25"/>
      <c r="F81" s="25"/>
      <c r="G81" s="25"/>
      <c r="H81" s="25"/>
      <c r="I81" s="25"/>
      <c r="J81" s="25"/>
      <c r="K81" s="25"/>
      <c r="L81" s="25"/>
      <c r="M81" s="25"/>
      <c r="N81" s="25"/>
      <c r="O81" s="25"/>
      <c r="P81" s="25"/>
      <c r="Q81" s="25"/>
      <c r="R81" s="25"/>
      <c r="S81" s="25"/>
      <c r="T81" s="25"/>
      <c r="U81" s="25"/>
      <c r="V81" s="25"/>
      <c r="W81" s="25"/>
      <c r="X81" s="25"/>
      <c r="Y81" s="25"/>
      <c r="Z81" s="25"/>
      <c r="AA81" s="25"/>
    </row>
    <row r="82">
      <c r="A82" s="24" t="s">
        <v>102</v>
      </c>
      <c r="B82" s="25"/>
      <c r="C82" s="25"/>
      <c r="D82" s="25"/>
      <c r="E82" s="25"/>
      <c r="F82" s="25"/>
      <c r="G82" s="25"/>
      <c r="H82" s="25"/>
      <c r="I82" s="25"/>
      <c r="J82" s="25"/>
      <c r="K82" s="25"/>
      <c r="L82" s="25"/>
      <c r="M82" s="25"/>
      <c r="N82" s="25"/>
      <c r="O82" s="25"/>
      <c r="P82" s="25"/>
      <c r="Q82" s="25"/>
      <c r="R82" s="25"/>
      <c r="S82" s="25"/>
      <c r="T82" s="25"/>
      <c r="U82" s="25"/>
      <c r="V82" s="25"/>
      <c r="W82" s="25"/>
      <c r="X82" s="25"/>
      <c r="Y82" s="25"/>
      <c r="Z82" s="25"/>
      <c r="AA82" s="25"/>
    </row>
    <row r="83" ht="187.5" customHeight="1">
      <c r="A83" s="24" t="s">
        <v>104</v>
      </c>
      <c r="B83" s="25"/>
      <c r="C83" s="24" t="s">
        <v>274</v>
      </c>
      <c r="D83" s="24"/>
      <c r="E83" s="24" t="s">
        <v>275</v>
      </c>
      <c r="F83" s="24" t="s">
        <v>276</v>
      </c>
      <c r="G83" s="24" t="s">
        <v>277</v>
      </c>
      <c r="H83" s="25"/>
      <c r="I83" s="25"/>
      <c r="J83" s="25"/>
      <c r="K83" s="25"/>
      <c r="L83" s="25"/>
      <c r="M83" s="25"/>
      <c r="N83" s="25"/>
      <c r="O83" s="25"/>
      <c r="P83" s="25"/>
      <c r="Q83" s="25"/>
      <c r="R83" s="25"/>
      <c r="S83" s="25"/>
      <c r="T83" s="25"/>
      <c r="U83" s="25"/>
      <c r="V83" s="25"/>
      <c r="W83" s="25"/>
      <c r="X83" s="25"/>
      <c r="Y83" s="25"/>
      <c r="Z83" s="25"/>
      <c r="AA83" s="25"/>
    </row>
    <row r="84">
      <c r="A84" s="24"/>
      <c r="B84" s="24" t="s">
        <v>105</v>
      </c>
      <c r="C84" s="24" t="s">
        <v>278</v>
      </c>
      <c r="D84" s="26" t="s">
        <v>147</v>
      </c>
      <c r="E84" s="25"/>
      <c r="F84" s="25"/>
      <c r="G84" s="25"/>
      <c r="H84" s="25"/>
      <c r="I84" s="25"/>
      <c r="J84" s="25"/>
      <c r="K84" s="25"/>
      <c r="L84" s="25"/>
      <c r="M84" s="25"/>
      <c r="N84" s="25"/>
      <c r="O84" s="25"/>
      <c r="P84" s="25"/>
      <c r="Q84" s="25"/>
      <c r="R84" s="25"/>
      <c r="S84" s="25"/>
      <c r="T84" s="25"/>
      <c r="U84" s="25"/>
      <c r="V84" s="25"/>
      <c r="W84" s="25"/>
      <c r="X84" s="25"/>
      <c r="Y84" s="25"/>
      <c r="Z84" s="25"/>
      <c r="AA84" s="25"/>
    </row>
    <row r="85" ht="91.5" customHeight="1">
      <c r="A85" s="24" t="s">
        <v>106</v>
      </c>
      <c r="B85" s="25"/>
      <c r="C85" s="24" t="s">
        <v>279</v>
      </c>
      <c r="D85" s="26" t="s">
        <v>147</v>
      </c>
      <c r="E85" s="24" t="s">
        <v>280</v>
      </c>
      <c r="F85" s="24" t="s">
        <v>281</v>
      </c>
      <c r="G85" s="24"/>
      <c r="H85" s="25"/>
      <c r="I85" s="25"/>
      <c r="J85" s="25"/>
      <c r="K85" s="25"/>
      <c r="L85" s="25"/>
      <c r="M85" s="25"/>
      <c r="N85" s="25"/>
      <c r="O85" s="25"/>
      <c r="P85" s="25"/>
      <c r="Q85" s="25"/>
      <c r="R85" s="25"/>
      <c r="S85" s="25"/>
      <c r="T85" s="25"/>
      <c r="U85" s="25"/>
      <c r="V85" s="25"/>
      <c r="W85" s="25"/>
      <c r="X85" s="25"/>
      <c r="Y85" s="25"/>
      <c r="Z85" s="25"/>
      <c r="AA85" s="25"/>
    </row>
    <row r="86">
      <c r="A86" s="24"/>
      <c r="B86" s="25"/>
      <c r="C86" s="25"/>
      <c r="D86" s="26" t="s">
        <v>147</v>
      </c>
      <c r="E86" s="25"/>
      <c r="F86" s="24" t="s">
        <v>282</v>
      </c>
      <c r="G86" s="25"/>
      <c r="H86" s="25"/>
      <c r="I86" s="25"/>
      <c r="J86" s="25"/>
      <c r="K86" s="25"/>
      <c r="L86" s="25"/>
      <c r="M86" s="25"/>
      <c r="N86" s="25"/>
      <c r="O86" s="25"/>
      <c r="P86" s="25"/>
      <c r="Q86" s="25"/>
      <c r="R86" s="25"/>
      <c r="S86" s="25"/>
      <c r="T86" s="25"/>
      <c r="U86" s="25"/>
      <c r="V86" s="25"/>
      <c r="W86" s="25"/>
      <c r="X86" s="25"/>
      <c r="Y86" s="25"/>
      <c r="Z86" s="25"/>
      <c r="AA86" s="25"/>
    </row>
    <row r="87">
      <c r="A87" s="24"/>
      <c r="B87" s="25"/>
      <c r="C87" s="25"/>
      <c r="D87" s="25"/>
      <c r="E87" s="25"/>
      <c r="F87" s="25"/>
      <c r="G87" s="25"/>
      <c r="H87" s="25"/>
      <c r="I87" s="25"/>
      <c r="J87" s="25"/>
      <c r="K87" s="25"/>
      <c r="L87" s="25"/>
      <c r="M87" s="25"/>
      <c r="N87" s="25"/>
      <c r="O87" s="25"/>
      <c r="P87" s="25"/>
      <c r="Q87" s="25"/>
      <c r="R87" s="25"/>
      <c r="S87" s="25"/>
      <c r="T87" s="25"/>
      <c r="U87" s="25"/>
      <c r="V87" s="25"/>
      <c r="W87" s="25"/>
      <c r="X87" s="25"/>
      <c r="Y87" s="25"/>
      <c r="Z87" s="25"/>
      <c r="AA87" s="25"/>
    </row>
    <row r="88">
      <c r="A88" s="24" t="s">
        <v>283</v>
      </c>
      <c r="B88" s="25"/>
      <c r="C88" s="25"/>
      <c r="D88" s="25"/>
      <c r="E88" s="25"/>
      <c r="F88" s="25"/>
      <c r="G88" s="25"/>
      <c r="H88" s="25"/>
      <c r="I88" s="25"/>
      <c r="J88" s="25"/>
      <c r="K88" s="25"/>
      <c r="L88" s="25"/>
      <c r="M88" s="25"/>
      <c r="N88" s="25"/>
      <c r="O88" s="25"/>
      <c r="P88" s="25"/>
      <c r="Q88" s="25"/>
      <c r="R88" s="25"/>
      <c r="S88" s="25"/>
      <c r="T88" s="25"/>
      <c r="U88" s="25"/>
      <c r="V88" s="25"/>
      <c r="W88" s="25"/>
      <c r="X88" s="25"/>
      <c r="Y88" s="25"/>
      <c r="Z88" s="25"/>
      <c r="AA88" s="25"/>
    </row>
    <row r="89">
      <c r="A89" s="24" t="s">
        <v>284</v>
      </c>
      <c r="B89" s="25"/>
      <c r="C89" s="25"/>
      <c r="D89" s="25"/>
      <c r="E89" s="25"/>
      <c r="F89" s="25"/>
      <c r="G89" s="25"/>
      <c r="H89" s="25"/>
      <c r="I89" s="25"/>
      <c r="J89" s="25"/>
      <c r="K89" s="25"/>
      <c r="L89" s="25"/>
      <c r="M89" s="25"/>
      <c r="N89" s="25"/>
      <c r="O89" s="25"/>
      <c r="P89" s="25"/>
      <c r="Q89" s="25"/>
      <c r="R89" s="25"/>
      <c r="S89" s="25"/>
      <c r="T89" s="25"/>
      <c r="U89" s="25"/>
      <c r="V89" s="25"/>
      <c r="W89" s="25"/>
      <c r="X89" s="25"/>
      <c r="Y89" s="25"/>
      <c r="Z89" s="25"/>
      <c r="AA89" s="25"/>
    </row>
    <row r="90">
      <c r="A90" s="24" t="s">
        <v>116</v>
      </c>
      <c r="B90" s="25"/>
      <c r="C90" s="24" t="s">
        <v>285</v>
      </c>
      <c r="D90" s="24"/>
      <c r="E90" s="25"/>
      <c r="F90" s="24" t="s">
        <v>286</v>
      </c>
      <c r="G90" s="24" t="s">
        <v>287</v>
      </c>
      <c r="H90" s="25"/>
      <c r="I90" s="25"/>
      <c r="J90" s="25"/>
      <c r="K90" s="25"/>
      <c r="L90" s="25"/>
      <c r="M90" s="25"/>
      <c r="N90" s="25"/>
      <c r="O90" s="25"/>
      <c r="P90" s="25"/>
      <c r="Q90" s="25"/>
      <c r="R90" s="25"/>
      <c r="S90" s="25"/>
      <c r="T90" s="25"/>
      <c r="U90" s="25"/>
      <c r="V90" s="25"/>
      <c r="W90" s="25"/>
      <c r="X90" s="25"/>
      <c r="Y90" s="25"/>
      <c r="Z90" s="25"/>
      <c r="AA90" s="25"/>
    </row>
    <row r="91">
      <c r="A91" s="25"/>
      <c r="B91" s="24" t="s">
        <v>117</v>
      </c>
      <c r="C91" s="24" t="s">
        <v>288</v>
      </c>
      <c r="D91" s="26" t="s">
        <v>147</v>
      </c>
      <c r="E91" s="25"/>
      <c r="F91" s="25"/>
      <c r="G91" s="25"/>
      <c r="H91" s="25"/>
      <c r="I91" s="25"/>
      <c r="J91" s="25"/>
      <c r="K91" s="25"/>
      <c r="L91" s="25"/>
      <c r="M91" s="25"/>
      <c r="N91" s="25"/>
      <c r="O91" s="25"/>
      <c r="P91" s="25"/>
      <c r="Q91" s="25"/>
      <c r="R91" s="25"/>
      <c r="S91" s="25"/>
      <c r="T91" s="25"/>
      <c r="U91" s="25"/>
      <c r="V91" s="25"/>
      <c r="W91" s="25"/>
      <c r="X91" s="25"/>
      <c r="Y91" s="25"/>
      <c r="Z91" s="25"/>
      <c r="AA91" s="25"/>
    </row>
    <row r="92">
      <c r="A92" s="25"/>
      <c r="B92" s="25"/>
      <c r="C92" s="25"/>
      <c r="D92" s="25"/>
      <c r="E92" s="25"/>
      <c r="F92" s="25"/>
      <c r="G92" s="25"/>
      <c r="H92" s="25"/>
      <c r="I92" s="25"/>
      <c r="J92" s="25"/>
      <c r="K92" s="25"/>
      <c r="L92" s="25"/>
      <c r="M92" s="25"/>
      <c r="N92" s="25"/>
      <c r="O92" s="25"/>
      <c r="P92" s="25"/>
      <c r="Q92" s="25"/>
      <c r="R92" s="25"/>
      <c r="S92" s="25"/>
      <c r="T92" s="25"/>
      <c r="U92" s="25"/>
      <c r="V92" s="25"/>
      <c r="W92" s="25"/>
      <c r="X92" s="25"/>
      <c r="Y92" s="25"/>
      <c r="Z92" s="25"/>
      <c r="AA92" s="25"/>
    </row>
    <row r="93">
      <c r="A93" s="25"/>
      <c r="B93" s="25"/>
      <c r="C93" s="25"/>
      <c r="D93" s="25"/>
      <c r="E93" s="25"/>
      <c r="F93" s="25"/>
      <c r="G93" s="25"/>
      <c r="H93" s="25"/>
      <c r="I93" s="25"/>
      <c r="J93" s="25"/>
      <c r="K93" s="25"/>
      <c r="L93" s="25"/>
      <c r="M93" s="25"/>
      <c r="N93" s="25"/>
      <c r="O93" s="25"/>
      <c r="P93" s="25"/>
      <c r="Q93" s="25"/>
      <c r="R93" s="25"/>
      <c r="S93" s="25"/>
      <c r="T93" s="25"/>
      <c r="U93" s="25"/>
      <c r="V93" s="25"/>
      <c r="W93" s="25"/>
      <c r="X93" s="25"/>
      <c r="Y93" s="25"/>
      <c r="Z93" s="25"/>
      <c r="AA93" s="25"/>
    </row>
    <row r="94">
      <c r="A94" s="25"/>
      <c r="B94" s="25"/>
      <c r="C94" s="25"/>
      <c r="D94" s="25"/>
      <c r="E94" s="25"/>
      <c r="F94" s="25"/>
      <c r="G94" s="25"/>
      <c r="H94" s="25"/>
      <c r="I94" s="25"/>
      <c r="J94" s="25"/>
      <c r="K94" s="25"/>
      <c r="L94" s="25"/>
      <c r="M94" s="25"/>
      <c r="N94" s="25"/>
      <c r="O94" s="25"/>
      <c r="P94" s="25"/>
      <c r="Q94" s="25"/>
      <c r="R94" s="25"/>
      <c r="S94" s="25"/>
      <c r="T94" s="25"/>
      <c r="U94" s="25"/>
      <c r="V94" s="25"/>
      <c r="W94" s="25"/>
      <c r="X94" s="25"/>
      <c r="Y94" s="25"/>
      <c r="Z94" s="25"/>
      <c r="AA94" s="25"/>
    </row>
    <row r="95">
      <c r="A95" s="25"/>
      <c r="B95" s="25"/>
      <c r="C95" s="25"/>
      <c r="D95" s="25"/>
      <c r="E95" s="25"/>
      <c r="F95" s="25"/>
      <c r="G95" s="25"/>
      <c r="H95" s="25"/>
      <c r="I95" s="25"/>
      <c r="J95" s="25"/>
      <c r="K95" s="25"/>
      <c r="L95" s="25"/>
      <c r="M95" s="25"/>
      <c r="N95" s="25"/>
      <c r="O95" s="25"/>
      <c r="P95" s="25"/>
      <c r="Q95" s="25"/>
      <c r="R95" s="25"/>
      <c r="S95" s="25"/>
      <c r="T95" s="25"/>
      <c r="U95" s="25"/>
      <c r="V95" s="25"/>
      <c r="W95" s="25"/>
      <c r="X95" s="25"/>
      <c r="Y95" s="25"/>
      <c r="Z95" s="25"/>
      <c r="AA95" s="25"/>
    </row>
    <row r="96">
      <c r="A96" s="25"/>
      <c r="B96" s="25"/>
      <c r="C96" s="25"/>
      <c r="D96" s="25"/>
      <c r="E96" s="25"/>
      <c r="F96" s="25"/>
      <c r="G96" s="25"/>
      <c r="H96" s="25"/>
      <c r="I96" s="25"/>
      <c r="J96" s="25"/>
      <c r="K96" s="25"/>
      <c r="L96" s="25"/>
      <c r="M96" s="25"/>
      <c r="N96" s="25"/>
      <c r="O96" s="25"/>
      <c r="P96" s="25"/>
      <c r="Q96" s="25"/>
      <c r="R96" s="25"/>
      <c r="S96" s="25"/>
      <c r="T96" s="25"/>
      <c r="U96" s="25"/>
      <c r="V96" s="25"/>
      <c r="W96" s="25"/>
      <c r="X96" s="25"/>
      <c r="Y96" s="25"/>
      <c r="Z96" s="25"/>
      <c r="AA96" s="25"/>
    </row>
    <row r="97">
      <c r="A97" s="25"/>
      <c r="B97" s="25"/>
      <c r="C97" s="25"/>
      <c r="D97" s="25"/>
      <c r="E97" s="25"/>
      <c r="F97" s="25"/>
      <c r="G97" s="25"/>
      <c r="H97" s="25"/>
      <c r="I97" s="25"/>
      <c r="J97" s="25"/>
      <c r="K97" s="25"/>
      <c r="L97" s="25"/>
      <c r="M97" s="25"/>
      <c r="N97" s="25"/>
      <c r="O97" s="25"/>
      <c r="P97" s="25"/>
      <c r="Q97" s="25"/>
      <c r="R97" s="25"/>
      <c r="S97" s="25"/>
      <c r="T97" s="25"/>
      <c r="U97" s="25"/>
      <c r="V97" s="25"/>
      <c r="W97" s="25"/>
      <c r="X97" s="25"/>
      <c r="Y97" s="25"/>
      <c r="Z97" s="25"/>
      <c r="AA97" s="25"/>
    </row>
    <row r="98">
      <c r="A98" s="25"/>
      <c r="B98" s="25"/>
      <c r="C98" s="25"/>
      <c r="D98" s="25"/>
      <c r="E98" s="25"/>
      <c r="F98" s="25"/>
      <c r="G98" s="25"/>
      <c r="H98" s="25"/>
      <c r="I98" s="25"/>
      <c r="J98" s="25"/>
      <c r="K98" s="25"/>
      <c r="L98" s="25"/>
      <c r="M98" s="25"/>
      <c r="N98" s="25"/>
      <c r="O98" s="25"/>
      <c r="P98" s="25"/>
      <c r="Q98" s="25"/>
      <c r="R98" s="25"/>
      <c r="S98" s="25"/>
      <c r="T98" s="25"/>
      <c r="U98" s="25"/>
      <c r="V98" s="25"/>
      <c r="W98" s="25"/>
      <c r="X98" s="25"/>
      <c r="Y98" s="25"/>
      <c r="Z98" s="25"/>
      <c r="AA98" s="25"/>
    </row>
    <row r="99">
      <c r="A99" s="25"/>
      <c r="B99" s="25"/>
      <c r="C99" s="25"/>
      <c r="D99" s="25"/>
      <c r="E99" s="25"/>
      <c r="F99" s="25"/>
      <c r="G99" s="25"/>
      <c r="H99" s="25"/>
      <c r="I99" s="25"/>
      <c r="J99" s="25"/>
      <c r="K99" s="25"/>
      <c r="L99" s="25"/>
      <c r="M99" s="25"/>
      <c r="N99" s="25"/>
      <c r="O99" s="25"/>
      <c r="P99" s="25"/>
      <c r="Q99" s="25"/>
      <c r="R99" s="25"/>
      <c r="S99" s="25"/>
      <c r="T99" s="25"/>
      <c r="U99" s="25"/>
      <c r="V99" s="25"/>
      <c r="W99" s="25"/>
      <c r="X99" s="25"/>
      <c r="Y99" s="25"/>
      <c r="Z99" s="25"/>
      <c r="AA99" s="25"/>
    </row>
    <row r="100">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c r="AA100" s="25"/>
    </row>
    <row r="101">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c r="AA101" s="25"/>
    </row>
    <row r="102">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c r="AA102" s="25"/>
    </row>
    <row r="103">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c r="AA103" s="25"/>
    </row>
    <row r="104">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c r="AA104" s="25"/>
    </row>
    <row r="105">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c r="AA105" s="25"/>
    </row>
    <row r="106">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c r="AA106" s="25"/>
    </row>
    <row r="107">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c r="AA107" s="25"/>
    </row>
    <row r="108">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c r="AA108" s="25"/>
    </row>
    <row r="109">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c r="AA109" s="25"/>
    </row>
    <row r="110">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c r="AA110" s="25"/>
    </row>
    <row r="111">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c r="AA111" s="25"/>
    </row>
    <row r="112">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c r="AA112" s="25"/>
    </row>
    <row r="113">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c r="AA113" s="25"/>
    </row>
    <row r="114">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c r="AA114" s="25"/>
    </row>
    <row r="115">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c r="AA115" s="25"/>
    </row>
    <row r="116">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c r="AA116" s="25"/>
    </row>
    <row r="117">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c r="AA117" s="25"/>
    </row>
    <row r="118">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c r="AA118" s="25"/>
    </row>
    <row r="119">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c r="AA119" s="25"/>
    </row>
    <row r="120">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c r="AA120" s="25"/>
    </row>
    <row r="121">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c r="AA121" s="25"/>
    </row>
    <row r="122">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c r="AA122" s="25"/>
    </row>
    <row r="123">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c r="AA123" s="25"/>
    </row>
    <row r="124">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c r="AA124" s="25"/>
    </row>
    <row r="125">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c r="AA125" s="25"/>
    </row>
    <row r="126">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c r="AA126" s="25"/>
    </row>
    <row r="127">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row>
    <row r="128">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row>
    <row r="129">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row>
    <row r="130">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row>
    <row r="131">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row>
    <row r="132">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row>
    <row r="133">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c r="AA133" s="25"/>
    </row>
    <row r="134">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c r="AA134" s="25"/>
    </row>
    <row r="135">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row>
    <row r="136">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row>
    <row r="137">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row>
    <row r="138">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row>
    <row r="139">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row>
    <row r="140">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row>
    <row r="141">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row>
    <row r="142">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c r="AA142" s="25"/>
    </row>
    <row r="143">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c r="AA143" s="25"/>
    </row>
    <row r="144">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row>
    <row r="145">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row>
    <row r="146">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row>
    <row r="147">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row>
    <row r="148">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row>
    <row r="149">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row>
    <row r="150">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row>
    <row r="151">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c r="AA151" s="25"/>
    </row>
    <row r="152">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c r="AA152" s="25"/>
    </row>
    <row r="153">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c r="AA153" s="25"/>
    </row>
    <row r="154">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row>
    <row r="155">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row>
    <row r="156">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row>
    <row r="157">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row>
    <row r="158">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c r="AA158" s="25"/>
    </row>
    <row r="159">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c r="AA159" s="25"/>
    </row>
    <row r="160">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row>
    <row r="161">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row>
    <row r="162">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row>
    <row r="163">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row>
    <row r="164">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c r="AA164" s="25"/>
    </row>
    <row r="165">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c r="AA165" s="25"/>
    </row>
    <row r="166">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row>
    <row r="167">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row>
    <row r="168">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row>
    <row r="169">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row>
    <row r="170">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c r="AA170" s="25"/>
    </row>
    <row r="171">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c r="AA171" s="25"/>
    </row>
    <row r="172">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row>
    <row r="173">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row>
    <row r="174">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c r="AA174" s="25"/>
    </row>
    <row r="175">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c r="AA175" s="25"/>
    </row>
    <row r="176">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row>
    <row r="177">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row>
    <row r="178">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row>
    <row r="179">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c r="AA179" s="25"/>
    </row>
    <row r="180">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c r="AA180" s="25"/>
    </row>
    <row r="181">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row>
    <row r="182">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row>
    <row r="183">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row>
    <row r="184">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row>
    <row r="185">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row>
    <row r="186">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row>
    <row r="187">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row>
    <row r="188">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row>
    <row r="189">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row>
    <row r="190">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row>
    <row r="191">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row>
    <row r="192">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row>
    <row r="193">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row>
    <row r="194">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row>
    <row r="195">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row>
    <row r="196">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row>
    <row r="197">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row>
    <row r="198">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row>
    <row r="199">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row>
    <row r="200">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row>
    <row r="201">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row>
    <row r="202">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row>
    <row r="203">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row>
    <row r="204">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row>
    <row r="205">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c r="AA205" s="25"/>
    </row>
    <row r="206">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row>
    <row r="207">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row>
    <row r="208">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row>
    <row r="209">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row>
    <row r="210">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row>
    <row r="211">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row>
    <row r="212">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row>
    <row r="213">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row>
    <row r="214">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row>
    <row r="215">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row>
    <row r="216">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row>
    <row r="217">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row>
    <row r="218">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c r="AA218" s="25"/>
    </row>
    <row r="219">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c r="AA219" s="25"/>
    </row>
    <row r="220">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row>
    <row r="221">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row>
    <row r="222">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c r="AA222" s="25"/>
    </row>
    <row r="223">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row>
    <row r="224">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row>
    <row r="225">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c r="AA225" s="25"/>
    </row>
    <row r="226">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c r="AA226" s="25"/>
    </row>
    <row r="227">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c r="AA227" s="25"/>
    </row>
    <row r="228">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c r="AA228" s="25"/>
    </row>
    <row r="229">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c r="AA229" s="25"/>
    </row>
    <row r="230">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c r="AA230" s="25"/>
    </row>
    <row r="231">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c r="AA231" s="25"/>
    </row>
    <row r="232">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c r="AA232" s="25"/>
    </row>
    <row r="233">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c r="AA233" s="25"/>
    </row>
    <row r="234">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c r="AA234" s="25"/>
    </row>
    <row r="235">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c r="AA235" s="25"/>
    </row>
    <row r="236">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c r="AA236" s="25"/>
    </row>
    <row r="237">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c r="AA237" s="25"/>
    </row>
    <row r="238">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c r="AA238" s="25"/>
    </row>
    <row r="239">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c r="AA239" s="25"/>
    </row>
    <row r="240">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c r="AA240" s="25"/>
    </row>
    <row r="241">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c r="AA241" s="25"/>
    </row>
    <row r="242">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c r="AA242" s="25"/>
    </row>
    <row r="243">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c r="AA243" s="25"/>
    </row>
    <row r="244">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c r="AA244" s="25"/>
    </row>
    <row r="245">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c r="AA245" s="25"/>
    </row>
    <row r="246">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c r="AA246" s="25"/>
    </row>
    <row r="247">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c r="AA247" s="25"/>
    </row>
    <row r="248">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c r="AA248" s="25"/>
    </row>
    <row r="249">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c r="AA249" s="25"/>
    </row>
    <row r="250">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c r="AA250" s="25"/>
    </row>
    <row r="251">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c r="AA251" s="25"/>
    </row>
    <row r="252">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c r="AA252" s="25"/>
    </row>
    <row r="253">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c r="AA253" s="25"/>
    </row>
    <row r="254">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c r="AA254" s="25"/>
    </row>
    <row r="255">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c r="AA255" s="25"/>
    </row>
    <row r="256">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c r="AA256" s="25"/>
    </row>
    <row r="257">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c r="AA257" s="25"/>
    </row>
    <row r="258">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c r="AA258" s="25"/>
    </row>
    <row r="259">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c r="AA259" s="25"/>
    </row>
    <row r="260">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c r="AA260" s="25"/>
    </row>
    <row r="261">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c r="AA261" s="25"/>
    </row>
    <row r="262">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c r="AA262" s="25"/>
    </row>
    <row r="263">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c r="AA263" s="25"/>
    </row>
    <row r="264">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c r="AA264" s="25"/>
    </row>
    <row r="265">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c r="AA265" s="25"/>
    </row>
    <row r="266">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c r="AA266" s="25"/>
    </row>
    <row r="267">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c r="AA267" s="25"/>
    </row>
    <row r="268">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c r="AA268" s="25"/>
    </row>
    <row r="269">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c r="AA269" s="25"/>
    </row>
    <row r="270">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c r="AA270" s="25"/>
    </row>
    <row r="271">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c r="AA271" s="25"/>
    </row>
    <row r="272">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c r="AA272" s="25"/>
    </row>
    <row r="273">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c r="AA273" s="25"/>
    </row>
    <row r="274">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c r="AA274" s="25"/>
    </row>
    <row r="275">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c r="AA275" s="25"/>
    </row>
    <row r="276">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c r="AA276" s="25"/>
    </row>
    <row r="277">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c r="AA277" s="25"/>
    </row>
    <row r="278">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c r="AA278" s="25"/>
    </row>
    <row r="279">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c r="AA279" s="25"/>
    </row>
    <row r="280">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c r="AA280" s="25"/>
    </row>
    <row r="281">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c r="AA281" s="25"/>
    </row>
    <row r="282">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c r="AA282" s="25"/>
    </row>
    <row r="283">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c r="AA283" s="25"/>
    </row>
    <row r="284">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c r="AA284" s="25"/>
    </row>
    <row r="285">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c r="AA285" s="25"/>
    </row>
    <row r="286">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c r="AA286" s="25"/>
    </row>
    <row r="287">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c r="AA287" s="25"/>
    </row>
    <row r="288">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c r="AA288" s="25"/>
    </row>
    <row r="289">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c r="AA289" s="25"/>
    </row>
    <row r="290">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c r="AA290" s="25"/>
    </row>
    <row r="291">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c r="AA291" s="25"/>
    </row>
    <row r="292">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c r="AA292" s="25"/>
    </row>
    <row r="293">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c r="AA293" s="25"/>
    </row>
    <row r="294">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c r="AA294" s="25"/>
    </row>
    <row r="295">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c r="AA295" s="25"/>
    </row>
    <row r="296">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c r="AA296" s="25"/>
    </row>
    <row r="297">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c r="AA297" s="25"/>
    </row>
    <row r="298">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c r="AA298" s="25"/>
    </row>
    <row r="299">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c r="AA299" s="25"/>
    </row>
    <row r="300">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c r="AA300" s="25"/>
    </row>
    <row r="301">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c r="AA301" s="25"/>
    </row>
    <row r="302">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c r="AA302" s="25"/>
    </row>
    <row r="303">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c r="AA303" s="25"/>
    </row>
    <row r="304">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c r="AA304" s="25"/>
    </row>
    <row r="305">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c r="AA305" s="25"/>
    </row>
    <row r="306">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c r="AA306" s="25"/>
    </row>
    <row r="307">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c r="AA307" s="25"/>
    </row>
    <row r="308">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c r="AA308" s="25"/>
    </row>
    <row r="309">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c r="AA309" s="25"/>
    </row>
    <row r="310">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c r="AA310" s="25"/>
    </row>
    <row r="311">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c r="AA311" s="25"/>
    </row>
    <row r="312">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c r="AA312" s="25"/>
    </row>
    <row r="313">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c r="AA313" s="25"/>
    </row>
    <row r="314">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c r="AA314" s="25"/>
    </row>
    <row r="315">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c r="AA315" s="25"/>
    </row>
    <row r="316">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c r="AA316" s="25"/>
    </row>
    <row r="317">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c r="AA317" s="25"/>
    </row>
    <row r="318">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c r="AA318" s="25"/>
    </row>
    <row r="319">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c r="AA319" s="25"/>
    </row>
    <row r="320">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c r="AA320" s="25"/>
    </row>
    <row r="321">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c r="AA321" s="25"/>
    </row>
    <row r="322">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c r="AA322" s="25"/>
    </row>
    <row r="323">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c r="AA323" s="25"/>
    </row>
    <row r="324">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c r="AA324" s="25"/>
    </row>
    <row r="325">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c r="AA325" s="25"/>
    </row>
    <row r="326">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c r="AA326" s="25"/>
    </row>
    <row r="327">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c r="AA327" s="25"/>
    </row>
    <row r="328">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c r="AA328" s="25"/>
    </row>
    <row r="329">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c r="AA329" s="25"/>
    </row>
    <row r="330">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c r="AA330" s="25"/>
    </row>
    <row r="331">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c r="AA331" s="25"/>
    </row>
    <row r="332">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c r="AA332" s="25"/>
    </row>
    <row r="333">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c r="AA333" s="25"/>
    </row>
    <row r="334">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c r="AA334" s="25"/>
    </row>
    <row r="335">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c r="AA335" s="25"/>
    </row>
    <row r="336">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c r="AA336" s="25"/>
    </row>
    <row r="337">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c r="AA337" s="25"/>
    </row>
    <row r="338">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c r="AA338" s="25"/>
    </row>
    <row r="339">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c r="AA339" s="25"/>
    </row>
    <row r="340">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c r="AA340" s="25"/>
    </row>
    <row r="341">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c r="AA341" s="25"/>
    </row>
    <row r="342">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c r="AA342" s="25"/>
    </row>
    <row r="343">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c r="AA343" s="25"/>
    </row>
    <row r="344">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c r="AA344" s="25"/>
    </row>
    <row r="345">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c r="AA345" s="25"/>
    </row>
    <row r="346">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c r="AA346" s="25"/>
    </row>
    <row r="347">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c r="AA347" s="25"/>
    </row>
    <row r="348">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c r="AA348" s="25"/>
    </row>
    <row r="349">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c r="AA349" s="25"/>
    </row>
    <row r="350">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c r="AA350" s="25"/>
    </row>
    <row r="351">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c r="AA351" s="25"/>
    </row>
    <row r="352">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c r="AA352" s="25"/>
    </row>
    <row r="353">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c r="AA353" s="25"/>
    </row>
    <row r="354">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c r="AA354" s="25"/>
    </row>
    <row r="355">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c r="AA355" s="25"/>
    </row>
    <row r="356">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c r="AA356" s="25"/>
    </row>
    <row r="357">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c r="AA357" s="25"/>
    </row>
    <row r="358">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c r="AA358" s="25"/>
    </row>
    <row r="359">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c r="AA359" s="25"/>
    </row>
    <row r="360">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c r="AA360" s="25"/>
    </row>
    <row r="361">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c r="AA361" s="25"/>
    </row>
    <row r="362">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c r="AA362" s="25"/>
    </row>
    <row r="363">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c r="AA363" s="25"/>
    </row>
    <row r="364">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c r="AA364" s="25"/>
    </row>
    <row r="365">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c r="AA365" s="25"/>
    </row>
    <row r="366">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c r="AA366" s="25"/>
    </row>
    <row r="367">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c r="AA367" s="25"/>
    </row>
    <row r="368">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c r="AA368" s="25"/>
    </row>
    <row r="369">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c r="AA369" s="25"/>
    </row>
    <row r="370">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c r="AA370" s="25"/>
    </row>
    <row r="371">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c r="AA371" s="25"/>
    </row>
    <row r="372">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c r="AA372" s="25"/>
    </row>
    <row r="373">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c r="AA373" s="25"/>
    </row>
    <row r="374">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c r="AA374" s="25"/>
    </row>
    <row r="375">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c r="AA375" s="25"/>
    </row>
    <row r="376">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c r="AA376" s="25"/>
    </row>
    <row r="377">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c r="AA377" s="25"/>
    </row>
    <row r="378">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c r="AA378" s="25"/>
    </row>
    <row r="379">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c r="AA379" s="25"/>
    </row>
    <row r="380">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c r="AA380" s="25"/>
    </row>
    <row r="381">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c r="AA381" s="25"/>
    </row>
    <row r="382">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c r="AA382" s="25"/>
    </row>
    <row r="383">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c r="AA383" s="25"/>
    </row>
    <row r="384">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c r="AA384" s="25"/>
    </row>
    <row r="385">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c r="AA385" s="25"/>
    </row>
    <row r="386">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c r="AA386" s="25"/>
    </row>
    <row r="387">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c r="AA387" s="25"/>
    </row>
    <row r="388">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c r="AA388" s="25"/>
    </row>
    <row r="389">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c r="AA389" s="25"/>
    </row>
    <row r="390">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c r="AA390" s="25"/>
    </row>
    <row r="391">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c r="AA391" s="25"/>
    </row>
    <row r="392">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c r="AA392" s="25"/>
    </row>
    <row r="393">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c r="AA393" s="25"/>
    </row>
    <row r="394">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c r="AA394" s="25"/>
    </row>
    <row r="395">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c r="AA395" s="25"/>
    </row>
    <row r="396">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c r="AA396" s="25"/>
    </row>
    <row r="397">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c r="AA397" s="25"/>
    </row>
    <row r="398">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c r="AA398" s="25"/>
    </row>
    <row r="399">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c r="AA399" s="25"/>
    </row>
    <row r="400">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c r="AA400" s="25"/>
    </row>
    <row r="401">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c r="AA401" s="25"/>
    </row>
    <row r="402">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c r="AA402" s="25"/>
    </row>
    <row r="403">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c r="AA403" s="25"/>
    </row>
    <row r="404">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c r="AA404" s="25"/>
    </row>
    <row r="405">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c r="AA405" s="25"/>
    </row>
    <row r="406">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c r="AA406" s="25"/>
    </row>
    <row r="407">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c r="AA407" s="25"/>
    </row>
    <row r="408">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c r="AA408" s="25"/>
    </row>
    <row r="409">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c r="AA409" s="25"/>
    </row>
    <row r="410">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c r="AA410" s="25"/>
    </row>
    <row r="411">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c r="AA411" s="25"/>
    </row>
    <row r="412">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c r="AA412" s="25"/>
    </row>
    <row r="413">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c r="AA413" s="25"/>
    </row>
    <row r="414">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c r="AA414" s="25"/>
    </row>
    <row r="415">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c r="AA415" s="25"/>
    </row>
    <row r="416">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c r="AA416" s="25"/>
    </row>
    <row r="417">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c r="AA417" s="25"/>
    </row>
    <row r="418">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c r="AA418" s="25"/>
    </row>
    <row r="419">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c r="AA419" s="25"/>
    </row>
    <row r="420">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c r="AA420" s="25"/>
    </row>
    <row r="421">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c r="AA421" s="25"/>
    </row>
    <row r="422">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c r="AA422" s="25"/>
    </row>
    <row r="423">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c r="AA423" s="25"/>
    </row>
    <row r="424">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c r="AA424" s="25"/>
    </row>
    <row r="425">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c r="AA425" s="25"/>
    </row>
    <row r="426">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c r="AA426" s="25"/>
    </row>
    <row r="427">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c r="AA427" s="25"/>
    </row>
    <row r="428">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c r="AA428" s="25"/>
    </row>
    <row r="429">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c r="AA429" s="25"/>
    </row>
    <row r="430">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c r="AA430" s="25"/>
    </row>
    <row r="431">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c r="AA431" s="25"/>
    </row>
    <row r="432">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c r="AA432" s="25"/>
    </row>
    <row r="433">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c r="AA433" s="25"/>
    </row>
    <row r="434">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c r="AA434" s="25"/>
    </row>
    <row r="435">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c r="AA435" s="25"/>
    </row>
    <row r="436">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c r="AA436" s="25"/>
    </row>
    <row r="437">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c r="AA437" s="25"/>
    </row>
    <row r="438">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c r="AA438" s="25"/>
    </row>
    <row r="439">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c r="AA439" s="25"/>
    </row>
    <row r="440">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c r="AA440" s="25"/>
    </row>
    <row r="441">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c r="AA441" s="25"/>
    </row>
    <row r="442">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c r="AA442" s="25"/>
    </row>
    <row r="443">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c r="AA443" s="25"/>
    </row>
    <row r="444">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c r="AA444" s="25"/>
    </row>
    <row r="445">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c r="AA445" s="25"/>
    </row>
    <row r="446">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c r="AA446" s="25"/>
    </row>
    <row r="447">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c r="AA447" s="25"/>
    </row>
    <row r="448">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c r="AA448" s="25"/>
    </row>
    <row r="449">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c r="AA449" s="25"/>
    </row>
    <row r="450">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c r="AA450" s="25"/>
    </row>
    <row r="451">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c r="AA451" s="25"/>
    </row>
    <row r="452">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c r="AA452" s="25"/>
    </row>
    <row r="453">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c r="AA453" s="25"/>
    </row>
    <row r="454">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c r="AA454" s="25"/>
    </row>
    <row r="455">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c r="AA455" s="25"/>
    </row>
    <row r="456">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c r="AA456" s="25"/>
    </row>
    <row r="457">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c r="AA457" s="25"/>
    </row>
    <row r="458">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c r="AA458" s="25"/>
    </row>
    <row r="459">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c r="AA459" s="25"/>
    </row>
    <row r="460">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c r="AA460" s="25"/>
    </row>
    <row r="461">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c r="AA461" s="25"/>
    </row>
    <row r="462">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c r="AA462" s="25"/>
    </row>
    <row r="463">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c r="AA463" s="25"/>
    </row>
    <row r="464">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c r="AA464" s="25"/>
    </row>
    <row r="465">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c r="AA465" s="25"/>
    </row>
    <row r="466">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c r="AA466" s="25"/>
    </row>
    <row r="467">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c r="AA467" s="25"/>
    </row>
    <row r="468">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c r="AA468" s="25"/>
    </row>
    <row r="469">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c r="AA469" s="25"/>
    </row>
    <row r="470">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c r="AA470" s="25"/>
    </row>
    <row r="471">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c r="AA471" s="25"/>
    </row>
    <row r="472">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c r="AA472" s="25"/>
    </row>
    <row r="473">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c r="AA473" s="25"/>
    </row>
    <row r="474">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c r="AA474" s="25"/>
    </row>
    <row r="475">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c r="AA475" s="25"/>
    </row>
    <row r="476">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c r="AA476" s="25"/>
    </row>
    <row r="477">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c r="AA477" s="25"/>
    </row>
    <row r="478">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c r="AA478" s="25"/>
    </row>
    <row r="479">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c r="AA479" s="25"/>
    </row>
    <row r="480">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c r="AA480" s="25"/>
    </row>
    <row r="481">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c r="AA481" s="25"/>
    </row>
    <row r="482">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c r="AA482" s="25"/>
    </row>
    <row r="483">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c r="AA483" s="25"/>
    </row>
    <row r="484">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c r="AA484" s="25"/>
    </row>
    <row r="485">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c r="AA485" s="25"/>
    </row>
    <row r="486">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c r="AA486" s="25"/>
    </row>
    <row r="487">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c r="AA487" s="25"/>
    </row>
    <row r="488">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c r="AA488" s="25"/>
    </row>
    <row r="489">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c r="AA489" s="25"/>
    </row>
    <row r="490">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c r="AA490" s="25"/>
    </row>
    <row r="491">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c r="AA491" s="25"/>
    </row>
    <row r="492">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c r="AA492" s="25"/>
    </row>
    <row r="493">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c r="AA493" s="25"/>
    </row>
    <row r="494">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c r="AA494" s="25"/>
    </row>
    <row r="495">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c r="AA495" s="25"/>
    </row>
    <row r="496">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c r="AA496" s="25"/>
    </row>
    <row r="497">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c r="AA497" s="25"/>
    </row>
    <row r="498">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c r="AA498" s="25"/>
    </row>
    <row r="499">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c r="AA499" s="25"/>
    </row>
    <row r="500">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c r="AA500" s="25"/>
    </row>
    <row r="501">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c r="AA501" s="25"/>
    </row>
    <row r="502">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c r="AA502" s="25"/>
    </row>
    <row r="503">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c r="AA503" s="25"/>
    </row>
    <row r="504">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c r="AA504" s="25"/>
    </row>
    <row r="505">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c r="AA505" s="25"/>
    </row>
    <row r="506">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c r="AA506" s="25"/>
    </row>
    <row r="507">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c r="AA507" s="25"/>
    </row>
    <row r="508">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c r="AA508" s="25"/>
    </row>
    <row r="509">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c r="AA509" s="25"/>
    </row>
    <row r="510">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c r="AA510" s="25"/>
    </row>
    <row r="511">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c r="AA511" s="25"/>
    </row>
    <row r="512">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c r="AA512" s="25"/>
    </row>
    <row r="513">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c r="AA513" s="25"/>
    </row>
    <row r="514">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c r="AA514" s="25"/>
    </row>
    <row r="515">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c r="AA515" s="25"/>
    </row>
    <row r="516">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c r="AA516" s="25"/>
    </row>
    <row r="517">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c r="AA517" s="25"/>
    </row>
    <row r="518">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c r="AA518" s="25"/>
    </row>
    <row r="519">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c r="AA519" s="25"/>
    </row>
    <row r="520">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c r="AA520" s="25"/>
    </row>
    <row r="521">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c r="AA521" s="25"/>
    </row>
    <row r="522">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c r="AA522" s="25"/>
    </row>
    <row r="523">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c r="AA523" s="25"/>
    </row>
    <row r="524">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c r="AA524" s="25"/>
    </row>
    <row r="525">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c r="AA525" s="25"/>
    </row>
    <row r="526">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c r="AA526" s="25"/>
    </row>
    <row r="527">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c r="AA527" s="25"/>
    </row>
    <row r="528">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c r="AA528" s="25"/>
    </row>
    <row r="529">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c r="AA529" s="25"/>
    </row>
    <row r="530">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c r="AA530" s="25"/>
    </row>
    <row r="531">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c r="AA531" s="25"/>
    </row>
    <row r="532">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c r="AA532" s="25"/>
    </row>
    <row r="533">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c r="AA533" s="25"/>
    </row>
    <row r="534">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c r="AA534" s="25"/>
    </row>
    <row r="535">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c r="AA535" s="25"/>
    </row>
    <row r="536">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c r="AA536" s="25"/>
    </row>
    <row r="537">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c r="AA537" s="25"/>
    </row>
    <row r="538">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c r="AA538" s="25"/>
    </row>
    <row r="539">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c r="AA539" s="25"/>
    </row>
    <row r="540">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c r="AA540" s="25"/>
    </row>
    <row r="541">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c r="AA541" s="25"/>
    </row>
    <row r="542">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c r="AA542" s="25"/>
    </row>
    <row r="543">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c r="AA543" s="25"/>
    </row>
    <row r="544">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c r="AA544" s="25"/>
    </row>
    <row r="545">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c r="AA545" s="25"/>
    </row>
    <row r="546">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c r="AA546" s="25"/>
    </row>
    <row r="547">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c r="AA547" s="25"/>
    </row>
    <row r="548">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c r="AA548" s="25"/>
    </row>
    <row r="549">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c r="AA549" s="25"/>
    </row>
    <row r="550">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c r="AA550" s="25"/>
    </row>
    <row r="551">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c r="AA551" s="25"/>
    </row>
    <row r="552">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c r="AA552" s="25"/>
    </row>
    <row r="553">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c r="AA553" s="25"/>
    </row>
    <row r="554">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c r="AA554" s="25"/>
    </row>
    <row r="555">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c r="AA555" s="25"/>
    </row>
    <row r="556">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c r="AA556" s="25"/>
    </row>
    <row r="557">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c r="AA557" s="25"/>
    </row>
    <row r="558">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c r="AA558" s="25"/>
    </row>
    <row r="559">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c r="AA559" s="25"/>
    </row>
    <row r="560">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c r="AA560" s="25"/>
    </row>
    <row r="561">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c r="AA561" s="25"/>
    </row>
    <row r="562">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c r="AA562" s="25"/>
    </row>
    <row r="563">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c r="AA563" s="25"/>
    </row>
    <row r="564">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c r="AA564" s="25"/>
    </row>
    <row r="565">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c r="AA565" s="25"/>
    </row>
    <row r="566">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c r="AA566" s="25"/>
    </row>
    <row r="567">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c r="AA567" s="25"/>
    </row>
    <row r="568">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c r="AA568" s="25"/>
    </row>
    <row r="569">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c r="AA569" s="25"/>
    </row>
    <row r="570">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c r="AA570" s="25"/>
    </row>
    <row r="571">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c r="AA571" s="25"/>
    </row>
    <row r="572">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c r="AA572" s="25"/>
    </row>
    <row r="573">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c r="AA573" s="25"/>
    </row>
    <row r="574">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c r="AA574" s="25"/>
    </row>
    <row r="575">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c r="AA575" s="25"/>
    </row>
    <row r="576">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c r="AA576" s="25"/>
    </row>
    <row r="577">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c r="AA577" s="25"/>
    </row>
    <row r="578">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c r="AA578" s="25"/>
    </row>
    <row r="579">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c r="AA579" s="25"/>
    </row>
    <row r="580">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c r="AA580" s="25"/>
    </row>
    <row r="581">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c r="AA581" s="25"/>
    </row>
    <row r="582">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c r="AA582" s="25"/>
    </row>
    <row r="583">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c r="AA583" s="25"/>
    </row>
    <row r="584">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c r="AA584" s="25"/>
    </row>
    <row r="585">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c r="AA585" s="25"/>
    </row>
    <row r="586">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c r="AA586" s="25"/>
    </row>
    <row r="587">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c r="AA587" s="25"/>
    </row>
    <row r="588">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c r="AA588" s="25"/>
    </row>
    <row r="589">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c r="AA589" s="25"/>
    </row>
    <row r="590">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c r="AA590" s="25"/>
    </row>
    <row r="591">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c r="AA591" s="25"/>
    </row>
    <row r="592">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c r="AA592" s="25"/>
    </row>
    <row r="593">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c r="AA593" s="25"/>
    </row>
    <row r="594">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c r="AA594" s="25"/>
    </row>
    <row r="595">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c r="AA595" s="25"/>
    </row>
    <row r="596">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c r="AA596" s="25"/>
    </row>
    <row r="597">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c r="AA597" s="25"/>
    </row>
    <row r="598">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c r="AA598" s="25"/>
    </row>
    <row r="599">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c r="AA599" s="25"/>
    </row>
    <row r="600">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c r="AA600" s="25"/>
    </row>
    <row r="601">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c r="AA601" s="25"/>
    </row>
    <row r="602">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c r="AA602" s="25"/>
    </row>
    <row r="603">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c r="AA603" s="25"/>
    </row>
    <row r="604">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c r="AA604" s="25"/>
    </row>
    <row r="605">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c r="AA605" s="25"/>
    </row>
    <row r="606">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c r="AA606" s="25"/>
    </row>
    <row r="607">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c r="AA607" s="25"/>
    </row>
    <row r="608">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c r="AA608" s="25"/>
    </row>
    <row r="609">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c r="AA609" s="25"/>
    </row>
    <row r="610">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c r="AA610" s="25"/>
    </row>
    <row r="611">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c r="AA611" s="25"/>
    </row>
    <row r="612">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c r="AA612" s="25"/>
    </row>
    <row r="613">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c r="AA613" s="25"/>
    </row>
    <row r="614">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c r="AA614" s="25"/>
    </row>
    <row r="615">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c r="AA615" s="25"/>
    </row>
    <row r="616">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c r="AA616" s="25"/>
    </row>
    <row r="617">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c r="AA617" s="25"/>
    </row>
    <row r="618">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c r="AA618" s="25"/>
    </row>
    <row r="619">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c r="AA619" s="25"/>
    </row>
    <row r="620">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c r="AA620" s="25"/>
    </row>
    <row r="621">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c r="AA621" s="25"/>
    </row>
    <row r="622">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c r="AA622" s="25"/>
    </row>
    <row r="623">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c r="AA623" s="25"/>
    </row>
    <row r="624">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c r="AA624" s="25"/>
    </row>
    <row r="625">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c r="AA625" s="25"/>
    </row>
    <row r="626">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c r="AA626" s="25"/>
    </row>
    <row r="627">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c r="AA627" s="25"/>
    </row>
    <row r="628">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c r="AA628" s="25"/>
    </row>
    <row r="629">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c r="AA629" s="25"/>
    </row>
    <row r="630">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c r="AA630" s="25"/>
    </row>
    <row r="631">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c r="AA631" s="25"/>
    </row>
    <row r="632">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c r="AA632" s="25"/>
    </row>
    <row r="633">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c r="AA633" s="25"/>
    </row>
    <row r="634">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c r="AA634" s="25"/>
    </row>
    <row r="635">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c r="AA635" s="25"/>
    </row>
    <row r="636">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c r="AA636" s="25"/>
    </row>
    <row r="637">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c r="AA637" s="25"/>
    </row>
    <row r="638">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c r="AA638" s="25"/>
    </row>
    <row r="639">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c r="AA639" s="25"/>
    </row>
    <row r="640">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c r="AA640" s="25"/>
    </row>
    <row r="641">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c r="AA641" s="25"/>
    </row>
    <row r="642">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c r="AA642" s="25"/>
    </row>
    <row r="643">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c r="AA643" s="25"/>
    </row>
    <row r="644">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c r="AA644" s="25"/>
    </row>
    <row r="645">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c r="AA645" s="25"/>
    </row>
    <row r="646">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c r="AA646" s="25"/>
    </row>
    <row r="647">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c r="AA647" s="25"/>
    </row>
    <row r="648">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c r="AA648" s="25"/>
    </row>
    <row r="649">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c r="AA649" s="25"/>
    </row>
    <row r="650">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c r="AA650" s="25"/>
    </row>
    <row r="651">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c r="AA651" s="25"/>
    </row>
    <row r="652">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c r="AA652" s="25"/>
    </row>
    <row r="653">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c r="AA653" s="25"/>
    </row>
    <row r="654">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c r="AA654" s="25"/>
    </row>
    <row r="655">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c r="AA655" s="25"/>
    </row>
    <row r="656">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c r="AA656" s="25"/>
    </row>
    <row r="657">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c r="AA657" s="25"/>
    </row>
    <row r="658">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c r="AA658" s="25"/>
    </row>
    <row r="659">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c r="AA659" s="25"/>
    </row>
    <row r="660">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c r="AA660" s="25"/>
    </row>
    <row r="661">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c r="AA661" s="25"/>
    </row>
    <row r="662">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c r="AA662" s="25"/>
    </row>
    <row r="663">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c r="AA663" s="25"/>
    </row>
    <row r="664">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c r="AA664" s="25"/>
    </row>
    <row r="665">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c r="AA665" s="25"/>
    </row>
    <row r="666">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c r="AA666" s="25"/>
    </row>
    <row r="667">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c r="AA667" s="25"/>
    </row>
    <row r="668">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c r="AA668" s="25"/>
    </row>
    <row r="669">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c r="AA669" s="25"/>
    </row>
    <row r="670">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c r="AA670" s="25"/>
    </row>
    <row r="671">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c r="AA671" s="25"/>
    </row>
    <row r="672">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c r="AA672" s="25"/>
    </row>
    <row r="673">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c r="AA673" s="25"/>
    </row>
    <row r="674">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c r="AA674" s="25"/>
    </row>
    <row r="675">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c r="AA675" s="25"/>
    </row>
    <row r="676">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c r="AA676" s="25"/>
    </row>
    <row r="677">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c r="AA677" s="25"/>
    </row>
    <row r="678">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c r="AA678" s="25"/>
    </row>
    <row r="679">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c r="AA679" s="25"/>
    </row>
    <row r="680">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c r="AA680" s="25"/>
    </row>
    <row r="681">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c r="AA681" s="25"/>
    </row>
    <row r="682">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c r="AA682" s="25"/>
    </row>
    <row r="683">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c r="AA683" s="25"/>
    </row>
    <row r="684">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c r="AA684" s="25"/>
    </row>
    <row r="685">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c r="AA685" s="25"/>
    </row>
    <row r="686">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c r="AA686" s="25"/>
    </row>
    <row r="687">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c r="AA687" s="25"/>
    </row>
    <row r="688">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c r="AA688" s="25"/>
    </row>
    <row r="689">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c r="AA689" s="25"/>
    </row>
    <row r="690">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c r="AA690" s="25"/>
    </row>
    <row r="691">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c r="AA691" s="25"/>
    </row>
    <row r="692">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c r="AA692" s="25"/>
    </row>
    <row r="693">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c r="AA693" s="25"/>
    </row>
    <row r="694">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c r="AA694" s="25"/>
    </row>
    <row r="695">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c r="AA695" s="25"/>
    </row>
    <row r="696">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c r="AA696" s="25"/>
    </row>
    <row r="697">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c r="AA697" s="25"/>
    </row>
    <row r="698">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c r="AA698" s="25"/>
    </row>
    <row r="699">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c r="AA699" s="25"/>
    </row>
    <row r="700">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c r="AA700" s="25"/>
    </row>
    <row r="701">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c r="AA701" s="25"/>
    </row>
    <row r="702">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c r="AA702" s="25"/>
    </row>
    <row r="703">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c r="AA703" s="25"/>
    </row>
    <row r="704">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c r="AA704" s="25"/>
    </row>
    <row r="705">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c r="AA705" s="25"/>
    </row>
    <row r="706">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c r="AA706" s="25"/>
    </row>
    <row r="707">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c r="AA707" s="25"/>
    </row>
    <row r="708">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c r="AA708" s="25"/>
    </row>
    <row r="709">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c r="AA709" s="25"/>
    </row>
    <row r="710">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c r="AA710" s="25"/>
    </row>
    <row r="711">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c r="AA711" s="25"/>
    </row>
    <row r="712">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c r="AA712" s="25"/>
    </row>
    <row r="713">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c r="AA713" s="25"/>
    </row>
    <row r="714">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c r="AA714" s="25"/>
    </row>
    <row r="715">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c r="AA715" s="25"/>
    </row>
    <row r="716">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c r="AA716" s="25"/>
    </row>
    <row r="717">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c r="AA717" s="25"/>
    </row>
    <row r="718">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c r="AA718" s="25"/>
    </row>
    <row r="719">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c r="AA719" s="25"/>
    </row>
    <row r="720">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c r="AA720" s="25"/>
    </row>
    <row r="721">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c r="AA721" s="25"/>
    </row>
    <row r="722">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c r="AA722" s="25"/>
    </row>
    <row r="723">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c r="AA723" s="25"/>
    </row>
    <row r="724">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c r="AA724" s="25"/>
    </row>
    <row r="725">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c r="AA725" s="25"/>
    </row>
    <row r="726">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c r="AA726" s="25"/>
    </row>
    <row r="727">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c r="AA727" s="25"/>
    </row>
    <row r="728">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c r="AA728" s="25"/>
    </row>
    <row r="729">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c r="AA729" s="25"/>
    </row>
    <row r="730">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c r="AA730" s="25"/>
    </row>
    <row r="731">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c r="AA731" s="25"/>
    </row>
    <row r="732">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c r="AA732" s="25"/>
    </row>
    <row r="733">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c r="AA733" s="25"/>
    </row>
    <row r="734">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c r="AA734" s="25"/>
    </row>
    <row r="735">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c r="AA735" s="25"/>
    </row>
    <row r="736">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c r="AA736" s="25"/>
    </row>
    <row r="737">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c r="AA737" s="25"/>
    </row>
    <row r="738">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c r="AA738" s="25"/>
    </row>
    <row r="739">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c r="AA739" s="25"/>
    </row>
    <row r="740">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c r="AA740" s="25"/>
    </row>
    <row r="741">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c r="AA741" s="25"/>
    </row>
    <row r="742">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c r="AA742" s="25"/>
    </row>
    <row r="743">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c r="AA743" s="25"/>
    </row>
    <row r="744">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c r="AA744" s="25"/>
    </row>
    <row r="745">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c r="AA745" s="25"/>
    </row>
    <row r="746">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c r="AA746" s="25"/>
    </row>
    <row r="747">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c r="AA747" s="25"/>
    </row>
    <row r="748">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c r="AA748" s="25"/>
    </row>
    <row r="749">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c r="AA749" s="25"/>
    </row>
    <row r="750">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c r="AA750" s="25"/>
    </row>
    <row r="751">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c r="AA751" s="25"/>
    </row>
    <row r="752">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c r="AA752" s="25"/>
    </row>
    <row r="753">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c r="AA753" s="25"/>
    </row>
    <row r="754">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c r="AA754" s="25"/>
    </row>
    <row r="755">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c r="AA755" s="25"/>
    </row>
    <row r="756">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c r="AA756" s="25"/>
    </row>
    <row r="757">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c r="AA757" s="25"/>
    </row>
    <row r="758">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c r="AA758" s="25"/>
    </row>
    <row r="759">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c r="AA759" s="25"/>
    </row>
    <row r="760">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c r="AA760" s="25"/>
    </row>
    <row r="761">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c r="AA761" s="25"/>
    </row>
    <row r="762">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c r="AA762" s="25"/>
    </row>
    <row r="763">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c r="AA763" s="25"/>
    </row>
    <row r="764">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c r="AA764" s="25"/>
    </row>
    <row r="765">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c r="AA765" s="25"/>
    </row>
    <row r="766">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c r="AA766" s="25"/>
    </row>
    <row r="767">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c r="AA767" s="25"/>
    </row>
    <row r="768">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c r="AA768" s="25"/>
    </row>
    <row r="769">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c r="AA769" s="25"/>
    </row>
    <row r="770">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c r="AA770" s="25"/>
    </row>
    <row r="771">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c r="AA771" s="25"/>
    </row>
    <row r="772">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c r="AA772" s="25"/>
    </row>
    <row r="773">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c r="AA773" s="25"/>
    </row>
    <row r="774">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c r="AA774" s="25"/>
    </row>
    <row r="775">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c r="AA775" s="25"/>
    </row>
    <row r="776">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c r="AA776" s="25"/>
    </row>
    <row r="777">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c r="AA777" s="25"/>
    </row>
    <row r="778">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c r="AA778" s="25"/>
    </row>
    <row r="779">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c r="AA779" s="25"/>
    </row>
    <row r="780">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c r="AA780" s="25"/>
    </row>
    <row r="781">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c r="AA781" s="25"/>
    </row>
    <row r="782">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c r="AA782" s="25"/>
    </row>
    <row r="783">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c r="AA783" s="25"/>
    </row>
    <row r="784">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c r="AA784" s="25"/>
    </row>
    <row r="785">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c r="AA785" s="25"/>
    </row>
    <row r="786">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c r="AA786" s="25"/>
    </row>
    <row r="787">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c r="AA787" s="25"/>
    </row>
    <row r="788">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c r="AA788" s="25"/>
    </row>
    <row r="789">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c r="AA789" s="25"/>
    </row>
    <row r="790">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c r="AA790" s="25"/>
    </row>
    <row r="791">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c r="AA791" s="25"/>
    </row>
    <row r="792">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c r="AA792" s="25"/>
    </row>
    <row r="793">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c r="AA793" s="25"/>
    </row>
    <row r="794">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c r="AA794" s="25"/>
    </row>
    <row r="795">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c r="AA795" s="25"/>
    </row>
    <row r="796">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c r="AA796" s="25"/>
    </row>
    <row r="797">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c r="AA797" s="25"/>
    </row>
    <row r="798">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c r="AA798" s="25"/>
    </row>
    <row r="799">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c r="AA799" s="25"/>
    </row>
    <row r="800">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c r="AA800" s="25"/>
    </row>
    <row r="801">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c r="AA801" s="25"/>
    </row>
    <row r="802">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c r="AA802" s="25"/>
    </row>
    <row r="803">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c r="AA803" s="25"/>
    </row>
    <row r="804">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c r="AA804" s="25"/>
    </row>
    <row r="805">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c r="AA805" s="25"/>
    </row>
    <row r="806">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c r="AA806" s="25"/>
    </row>
    <row r="807">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c r="AA807" s="25"/>
    </row>
    <row r="808">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c r="AA808" s="25"/>
    </row>
    <row r="809">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c r="AA809" s="25"/>
    </row>
    <row r="810">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c r="AA810" s="25"/>
    </row>
    <row r="811">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c r="AA811" s="25"/>
    </row>
    <row r="812">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c r="AA812" s="25"/>
    </row>
    <row r="813">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c r="AA813" s="25"/>
    </row>
    <row r="814">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c r="AA814" s="25"/>
    </row>
    <row r="815">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c r="AA815" s="25"/>
    </row>
    <row r="816">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c r="AA816" s="25"/>
    </row>
    <row r="817">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c r="AA817" s="25"/>
    </row>
    <row r="818">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c r="AA818" s="25"/>
    </row>
    <row r="819">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c r="AA819" s="25"/>
    </row>
    <row r="820">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c r="AA820" s="25"/>
    </row>
    <row r="821">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c r="AA821" s="25"/>
    </row>
    <row r="822">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c r="AA822" s="25"/>
    </row>
    <row r="823">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c r="AA823" s="25"/>
    </row>
    <row r="824">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c r="AA824" s="25"/>
    </row>
    <row r="825">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c r="AA825" s="25"/>
    </row>
    <row r="826">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c r="AA826" s="25"/>
    </row>
    <row r="827">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c r="AA827" s="25"/>
    </row>
    <row r="828">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c r="AA828" s="25"/>
    </row>
    <row r="829">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c r="AA829" s="25"/>
    </row>
    <row r="830">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c r="AA830" s="25"/>
    </row>
    <row r="831">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c r="AA831" s="25"/>
    </row>
    <row r="832">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c r="AA832" s="25"/>
    </row>
    <row r="833">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c r="AA833" s="25"/>
    </row>
    <row r="834">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c r="AA834" s="25"/>
    </row>
    <row r="835">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c r="AA835" s="25"/>
    </row>
    <row r="836">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c r="AA836" s="25"/>
    </row>
    <row r="837">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c r="AA837" s="25"/>
    </row>
    <row r="838">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c r="AA838" s="25"/>
    </row>
    <row r="839">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c r="AA839" s="25"/>
    </row>
    <row r="840">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c r="AA840" s="25"/>
    </row>
    <row r="841">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c r="AA841" s="25"/>
    </row>
    <row r="842">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c r="AA842" s="25"/>
    </row>
    <row r="843">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c r="AA843" s="25"/>
    </row>
    <row r="844">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c r="AA844" s="25"/>
    </row>
    <row r="845">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c r="AA845" s="25"/>
    </row>
    <row r="846">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c r="AA846" s="25"/>
    </row>
    <row r="847">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c r="AA847" s="25"/>
    </row>
    <row r="848">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c r="AA848" s="25"/>
    </row>
    <row r="849">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c r="AA849" s="25"/>
    </row>
    <row r="850">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c r="AA850" s="25"/>
    </row>
    <row r="851">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c r="AA851" s="25"/>
    </row>
    <row r="852">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c r="AA852" s="25"/>
    </row>
    <row r="853">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c r="AA853" s="25"/>
    </row>
    <row r="854">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c r="AA854" s="25"/>
    </row>
    <row r="855">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c r="AA855" s="25"/>
    </row>
    <row r="856">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c r="AA856" s="25"/>
    </row>
    <row r="857">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c r="AA857" s="25"/>
    </row>
    <row r="858">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c r="AA858" s="25"/>
    </row>
    <row r="859">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c r="AA859" s="25"/>
    </row>
    <row r="860">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c r="AA860" s="25"/>
    </row>
    <row r="861">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c r="AA861" s="25"/>
    </row>
    <row r="862">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c r="AA862" s="25"/>
    </row>
    <row r="863">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c r="AA863" s="25"/>
    </row>
    <row r="864">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c r="AA864" s="25"/>
    </row>
    <row r="865">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c r="AA865" s="25"/>
    </row>
    <row r="866">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c r="AA866" s="25"/>
    </row>
    <row r="867">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c r="AA867" s="25"/>
    </row>
    <row r="868">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c r="AA868" s="25"/>
    </row>
    <row r="869">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c r="AA869" s="25"/>
    </row>
    <row r="870">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c r="AA870" s="25"/>
    </row>
    <row r="871">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c r="AA871" s="25"/>
    </row>
    <row r="872">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c r="AA872" s="25"/>
    </row>
    <row r="873">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c r="AA873" s="25"/>
    </row>
    <row r="874">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c r="AA874" s="25"/>
    </row>
    <row r="875">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c r="AA875" s="25"/>
    </row>
    <row r="876">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c r="AA876" s="25"/>
    </row>
    <row r="877">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c r="AA877" s="25"/>
    </row>
    <row r="878">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c r="AA878" s="25"/>
    </row>
    <row r="879">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c r="AA879" s="25"/>
    </row>
    <row r="880">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c r="AA880" s="25"/>
    </row>
    <row r="881">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c r="AA881" s="25"/>
    </row>
    <row r="882">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c r="AA882" s="25"/>
    </row>
    <row r="883">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c r="AA883" s="25"/>
    </row>
    <row r="884">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c r="AA884" s="25"/>
    </row>
    <row r="885">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c r="AA885" s="25"/>
    </row>
    <row r="886">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c r="AA886" s="25"/>
    </row>
    <row r="887">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c r="AA887" s="25"/>
    </row>
    <row r="888">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c r="AA888" s="25"/>
    </row>
    <row r="889">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c r="AA889" s="25"/>
    </row>
    <row r="890">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c r="AA890" s="25"/>
    </row>
    <row r="891">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c r="AA891" s="25"/>
    </row>
    <row r="892">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c r="AA892" s="25"/>
    </row>
    <row r="893">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c r="AA893" s="25"/>
    </row>
    <row r="894">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c r="AA894" s="25"/>
    </row>
    <row r="895">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c r="AA895" s="25"/>
    </row>
    <row r="896">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c r="AA896" s="25"/>
    </row>
    <row r="897">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c r="AA897" s="25"/>
    </row>
    <row r="898">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c r="AA898" s="25"/>
    </row>
    <row r="899">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c r="AA899" s="25"/>
    </row>
    <row r="900">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c r="AA900" s="25"/>
    </row>
    <row r="901">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c r="AA901" s="25"/>
    </row>
    <row r="902">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c r="AA902" s="25"/>
    </row>
    <row r="903">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c r="AA903" s="25"/>
    </row>
    <row r="904">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c r="AA904" s="25"/>
    </row>
    <row r="905">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c r="AA905" s="25"/>
    </row>
    <row r="906">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c r="AA906" s="25"/>
    </row>
    <row r="907">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c r="AA907" s="25"/>
    </row>
    <row r="908">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c r="AA908" s="25"/>
    </row>
    <row r="909">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c r="AA909" s="25"/>
    </row>
    <row r="910">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c r="AA910" s="25"/>
    </row>
    <row r="911">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c r="AA911" s="25"/>
    </row>
    <row r="912">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c r="AA912" s="25"/>
    </row>
    <row r="913">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c r="AA913" s="25"/>
    </row>
    <row r="914">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c r="AA914" s="25"/>
    </row>
    <row r="915">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c r="AA915" s="25"/>
    </row>
    <row r="916">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c r="AA916" s="25"/>
    </row>
    <row r="917">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c r="AA917" s="25"/>
    </row>
    <row r="918">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c r="AA918" s="25"/>
    </row>
    <row r="919">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c r="AA919" s="25"/>
    </row>
    <row r="920">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c r="AA920" s="25"/>
    </row>
    <row r="921">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c r="AA921" s="25"/>
    </row>
    <row r="922">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c r="AA922" s="25"/>
    </row>
    <row r="923">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c r="AA923" s="25"/>
    </row>
    <row r="924">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c r="AA924" s="25"/>
    </row>
    <row r="925">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c r="AA925" s="25"/>
    </row>
    <row r="926">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c r="AA926" s="25"/>
    </row>
    <row r="927">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c r="AA927" s="25"/>
    </row>
    <row r="928">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c r="AA928" s="25"/>
    </row>
    <row r="929">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c r="AA929" s="25"/>
    </row>
    <row r="930">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c r="AA930" s="25"/>
    </row>
    <row r="931">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c r="AA931" s="25"/>
    </row>
    <row r="932">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c r="AA932" s="25"/>
    </row>
    <row r="933">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c r="AA933" s="25"/>
    </row>
    <row r="934">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c r="AA934" s="25"/>
    </row>
    <row r="935">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c r="AA935" s="25"/>
    </row>
    <row r="936">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c r="AA936" s="25"/>
    </row>
    <row r="937">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c r="AA937" s="25"/>
    </row>
    <row r="938">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c r="AA938" s="25"/>
    </row>
    <row r="939">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c r="AA939" s="25"/>
    </row>
    <row r="940">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c r="AA940" s="25"/>
    </row>
    <row r="941">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c r="AA941" s="25"/>
    </row>
    <row r="942">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c r="AA942" s="25"/>
    </row>
    <row r="943">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c r="AA943" s="25"/>
    </row>
    <row r="944">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c r="AA944" s="25"/>
    </row>
    <row r="945">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c r="AA945" s="25"/>
    </row>
    <row r="946">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c r="AA946" s="25"/>
    </row>
    <row r="947">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c r="AA947" s="25"/>
    </row>
    <row r="948">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c r="AA948" s="25"/>
    </row>
    <row r="949">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c r="AA949" s="25"/>
    </row>
    <row r="950">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c r="AA950" s="25"/>
    </row>
    <row r="951">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c r="AA951" s="25"/>
    </row>
    <row r="952">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c r="AA952" s="25"/>
    </row>
    <row r="953">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c r="AA953" s="25"/>
    </row>
    <row r="954">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c r="AA954" s="25"/>
    </row>
    <row r="955">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c r="AA955" s="25"/>
    </row>
    <row r="956">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c r="AA956" s="25"/>
    </row>
    <row r="957">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c r="AA957" s="25"/>
    </row>
    <row r="958">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c r="AA958" s="25"/>
    </row>
    <row r="959">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c r="AA959" s="25"/>
    </row>
    <row r="960">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c r="AA960" s="25"/>
    </row>
    <row r="961">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c r="AA961" s="25"/>
    </row>
    <row r="962">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c r="AA962" s="25"/>
    </row>
    <row r="963">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c r="AA963" s="25"/>
    </row>
    <row r="964">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c r="AA964" s="25"/>
    </row>
    <row r="965">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c r="AA965" s="25"/>
    </row>
    <row r="966">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c r="AA966" s="25"/>
    </row>
    <row r="967">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c r="AA967" s="25"/>
    </row>
    <row r="968">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c r="AA968" s="25"/>
    </row>
    <row r="969">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c r="AA969" s="25"/>
    </row>
    <row r="970">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c r="AA970" s="25"/>
    </row>
    <row r="971">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c r="AA971" s="25"/>
    </row>
    <row r="972">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c r="AA972" s="25"/>
    </row>
    <row r="973">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c r="AA973" s="25"/>
    </row>
    <row r="974">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c r="AA974" s="25"/>
    </row>
    <row r="975">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c r="AA975" s="25"/>
    </row>
    <row r="976">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c r="AA976" s="25"/>
    </row>
    <row r="977">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c r="AA977" s="25"/>
    </row>
    <row r="978">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c r="AA978" s="25"/>
    </row>
    <row r="979">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c r="AA979" s="25"/>
    </row>
    <row r="980">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c r="AA980" s="25"/>
    </row>
    <row r="981">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c r="AA981" s="25"/>
    </row>
    <row r="982">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c r="AA982" s="25"/>
    </row>
    <row r="983">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c r="AA983" s="25"/>
    </row>
    <row r="984">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c r="AA984" s="25"/>
    </row>
    <row r="985">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c r="AA985" s="25"/>
    </row>
    <row r="986">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c r="AA986" s="25"/>
    </row>
    <row r="987">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c r="AA987" s="25"/>
    </row>
    <row r="988">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c r="AA988" s="25"/>
    </row>
    <row r="989">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c r="AA989" s="25"/>
    </row>
    <row r="990">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c r="AA990" s="25"/>
    </row>
    <row r="991">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c r="AA991" s="25"/>
    </row>
    <row r="992">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c r="AA992" s="25"/>
    </row>
    <row r="993">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c r="AA993" s="25"/>
    </row>
    <row r="994">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c r="AA994" s="25"/>
    </row>
    <row r="995">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c r="AA995" s="25"/>
    </row>
    <row r="996">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c r="AA996" s="25"/>
    </row>
    <row r="997">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c r="AA997" s="25"/>
    </row>
    <row r="998">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c r="AA998" s="25"/>
    </row>
    <row r="999">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c r="AA999" s="25"/>
    </row>
    <row r="1000">
      <c r="A1000" s="25"/>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c r="AA1000" s="25"/>
    </row>
    <row r="1001">
      <c r="A1001" s="25"/>
      <c r="B1001" s="25"/>
      <c r="C1001" s="25"/>
      <c r="D1001" s="25"/>
      <c r="E1001" s="25"/>
      <c r="F1001" s="25"/>
      <c r="G1001" s="25"/>
      <c r="H1001" s="25"/>
      <c r="I1001" s="25"/>
      <c r="J1001" s="25"/>
      <c r="K1001" s="25"/>
      <c r="L1001" s="25"/>
      <c r="M1001" s="25"/>
      <c r="N1001" s="25"/>
      <c r="O1001" s="25"/>
      <c r="P1001" s="25"/>
      <c r="Q1001" s="25"/>
      <c r="R1001" s="25"/>
      <c r="S1001" s="25"/>
      <c r="T1001" s="25"/>
      <c r="U1001" s="25"/>
      <c r="V1001" s="25"/>
      <c r="W1001" s="25"/>
      <c r="X1001" s="25"/>
      <c r="Y1001" s="25"/>
      <c r="Z1001" s="25"/>
      <c r="AA1001" s="25"/>
    </row>
    <row r="1002">
      <c r="A1002" s="25"/>
      <c r="B1002" s="25"/>
      <c r="C1002" s="25"/>
      <c r="D1002" s="25"/>
      <c r="E1002" s="25"/>
      <c r="F1002" s="25"/>
      <c r="G1002" s="25"/>
      <c r="H1002" s="25"/>
      <c r="I1002" s="25"/>
      <c r="J1002" s="25"/>
      <c r="K1002" s="25"/>
      <c r="L1002" s="25"/>
      <c r="M1002" s="25"/>
      <c r="N1002" s="25"/>
      <c r="O1002" s="25"/>
      <c r="P1002" s="25"/>
      <c r="Q1002" s="25"/>
      <c r="R1002" s="25"/>
      <c r="S1002" s="25"/>
      <c r="T1002" s="25"/>
      <c r="U1002" s="25"/>
      <c r="V1002" s="25"/>
      <c r="W1002" s="25"/>
      <c r="X1002" s="25"/>
      <c r="Y1002" s="25"/>
      <c r="Z1002" s="25"/>
      <c r="AA1002" s="25"/>
    </row>
    <row r="1003">
      <c r="A1003" s="25"/>
      <c r="B1003" s="25"/>
      <c r="C1003" s="25"/>
      <c r="D1003" s="25"/>
      <c r="E1003" s="25"/>
      <c r="F1003" s="25"/>
      <c r="G1003" s="25"/>
      <c r="H1003" s="25"/>
      <c r="I1003" s="25"/>
      <c r="J1003" s="25"/>
      <c r="K1003" s="25"/>
      <c r="L1003" s="25"/>
      <c r="M1003" s="25"/>
      <c r="N1003" s="25"/>
      <c r="O1003" s="25"/>
      <c r="P1003" s="25"/>
      <c r="Q1003" s="25"/>
      <c r="R1003" s="25"/>
      <c r="S1003" s="25"/>
      <c r="T1003" s="25"/>
      <c r="U1003" s="25"/>
      <c r="V1003" s="25"/>
      <c r="W1003" s="25"/>
      <c r="X1003" s="25"/>
      <c r="Y1003" s="25"/>
      <c r="Z1003" s="25"/>
      <c r="AA1003" s="25"/>
    </row>
    <row r="1004">
      <c r="A1004" s="25"/>
      <c r="B1004" s="25"/>
      <c r="C1004" s="25"/>
      <c r="D1004" s="25"/>
      <c r="E1004" s="25"/>
      <c r="F1004" s="25"/>
      <c r="G1004" s="25"/>
      <c r="H1004" s="25"/>
      <c r="I1004" s="25"/>
      <c r="J1004" s="25"/>
      <c r="K1004" s="25"/>
      <c r="L1004" s="25"/>
      <c r="M1004" s="25"/>
      <c r="N1004" s="25"/>
      <c r="O1004" s="25"/>
      <c r="P1004" s="25"/>
      <c r="Q1004" s="25"/>
      <c r="R1004" s="25"/>
      <c r="S1004" s="25"/>
      <c r="T1004" s="25"/>
      <c r="U1004" s="25"/>
      <c r="V1004" s="25"/>
      <c r="W1004" s="25"/>
      <c r="X1004" s="25"/>
      <c r="Y1004" s="25"/>
      <c r="Z1004" s="25"/>
      <c r="AA1004" s="25"/>
    </row>
    <row r="1005">
      <c r="A1005" s="25"/>
      <c r="B1005" s="25"/>
      <c r="C1005" s="25"/>
      <c r="D1005" s="25"/>
      <c r="E1005" s="25"/>
      <c r="F1005" s="25"/>
      <c r="G1005" s="25"/>
      <c r="H1005" s="25"/>
      <c r="I1005" s="25"/>
      <c r="J1005" s="25"/>
      <c r="K1005" s="25"/>
      <c r="L1005" s="25"/>
      <c r="M1005" s="25"/>
      <c r="N1005" s="25"/>
      <c r="O1005" s="25"/>
      <c r="P1005" s="25"/>
      <c r="Q1005" s="25"/>
      <c r="R1005" s="25"/>
      <c r="S1005" s="25"/>
      <c r="T1005" s="25"/>
      <c r="U1005" s="25"/>
      <c r="V1005" s="25"/>
      <c r="W1005" s="25"/>
      <c r="X1005" s="25"/>
      <c r="Y1005" s="25"/>
      <c r="Z1005" s="25"/>
      <c r="AA1005" s="25"/>
    </row>
    <row r="1006">
      <c r="A1006" s="25"/>
      <c r="B1006" s="25"/>
      <c r="C1006" s="25"/>
      <c r="D1006" s="25"/>
      <c r="E1006" s="25"/>
      <c r="F1006" s="25"/>
      <c r="G1006" s="25"/>
      <c r="H1006" s="25"/>
      <c r="I1006" s="25"/>
      <c r="J1006" s="25"/>
      <c r="K1006" s="25"/>
      <c r="L1006" s="25"/>
      <c r="M1006" s="25"/>
      <c r="N1006" s="25"/>
      <c r="O1006" s="25"/>
      <c r="P1006" s="25"/>
      <c r="Q1006" s="25"/>
      <c r="R1006" s="25"/>
      <c r="S1006" s="25"/>
      <c r="T1006" s="25"/>
      <c r="U1006" s="25"/>
      <c r="V1006" s="25"/>
      <c r="W1006" s="25"/>
      <c r="X1006" s="25"/>
      <c r="Y1006" s="25"/>
      <c r="Z1006" s="25"/>
      <c r="AA1006" s="25"/>
    </row>
    <row r="1007">
      <c r="A1007" s="25"/>
      <c r="B1007" s="25"/>
      <c r="C1007" s="25"/>
      <c r="D1007" s="25"/>
      <c r="E1007" s="25"/>
      <c r="F1007" s="25"/>
      <c r="G1007" s="25"/>
      <c r="H1007" s="25"/>
      <c r="I1007" s="25"/>
      <c r="J1007" s="25"/>
      <c r="K1007" s="25"/>
      <c r="L1007" s="25"/>
      <c r="M1007" s="25"/>
      <c r="N1007" s="25"/>
      <c r="O1007" s="25"/>
      <c r="P1007" s="25"/>
      <c r="Q1007" s="25"/>
      <c r="R1007" s="25"/>
      <c r="S1007" s="25"/>
      <c r="T1007" s="25"/>
      <c r="U1007" s="25"/>
      <c r="V1007" s="25"/>
      <c r="W1007" s="25"/>
      <c r="X1007" s="25"/>
      <c r="Y1007" s="25"/>
      <c r="Z1007" s="25"/>
      <c r="AA1007" s="25"/>
    </row>
    <row r="1008">
      <c r="A1008" s="25"/>
      <c r="B1008" s="25"/>
      <c r="C1008" s="25"/>
      <c r="D1008" s="25"/>
      <c r="E1008" s="25"/>
      <c r="F1008" s="25"/>
      <c r="G1008" s="25"/>
      <c r="H1008" s="25"/>
      <c r="I1008" s="25"/>
      <c r="J1008" s="25"/>
      <c r="K1008" s="25"/>
      <c r="L1008" s="25"/>
      <c r="M1008" s="25"/>
      <c r="N1008" s="25"/>
      <c r="O1008" s="25"/>
      <c r="P1008" s="25"/>
      <c r="Q1008" s="25"/>
      <c r="R1008" s="25"/>
      <c r="S1008" s="25"/>
      <c r="T1008" s="25"/>
      <c r="U1008" s="25"/>
      <c r="V1008" s="25"/>
      <c r="W1008" s="25"/>
      <c r="X1008" s="25"/>
      <c r="Y1008" s="25"/>
      <c r="Z1008" s="25"/>
      <c r="AA1008" s="25"/>
    </row>
    <row r="1009">
      <c r="A1009" s="25"/>
      <c r="B1009" s="25"/>
      <c r="C1009" s="25"/>
      <c r="D1009" s="25"/>
      <c r="E1009" s="25"/>
      <c r="F1009" s="25"/>
      <c r="G1009" s="25"/>
      <c r="H1009" s="25"/>
      <c r="I1009" s="25"/>
      <c r="J1009" s="25"/>
      <c r="K1009" s="25"/>
      <c r="L1009" s="25"/>
      <c r="M1009" s="25"/>
      <c r="N1009" s="25"/>
      <c r="O1009" s="25"/>
      <c r="P1009" s="25"/>
      <c r="Q1009" s="25"/>
      <c r="R1009" s="25"/>
      <c r="S1009" s="25"/>
      <c r="T1009" s="25"/>
      <c r="U1009" s="25"/>
      <c r="V1009" s="25"/>
      <c r="W1009" s="25"/>
      <c r="X1009" s="25"/>
      <c r="Y1009" s="25"/>
      <c r="Z1009" s="25"/>
      <c r="AA1009" s="25"/>
    </row>
    <row r="1010">
      <c r="A1010" s="25"/>
      <c r="B1010" s="25"/>
      <c r="C1010" s="25"/>
      <c r="D1010" s="25"/>
      <c r="E1010" s="25"/>
      <c r="F1010" s="25"/>
      <c r="G1010" s="25"/>
      <c r="H1010" s="25"/>
      <c r="I1010" s="25"/>
      <c r="J1010" s="25"/>
      <c r="K1010" s="25"/>
      <c r="L1010" s="25"/>
      <c r="M1010" s="25"/>
      <c r="N1010" s="25"/>
      <c r="O1010" s="25"/>
      <c r="P1010" s="25"/>
      <c r="Q1010" s="25"/>
      <c r="R1010" s="25"/>
      <c r="S1010" s="25"/>
      <c r="T1010" s="25"/>
      <c r="U1010" s="25"/>
      <c r="V1010" s="25"/>
      <c r="W1010" s="25"/>
      <c r="X1010" s="25"/>
      <c r="Y1010" s="25"/>
      <c r="Z1010" s="25"/>
      <c r="AA1010" s="25"/>
    </row>
    <row r="1011">
      <c r="A1011" s="25"/>
      <c r="B1011" s="25"/>
      <c r="C1011" s="25"/>
      <c r="D1011" s="25"/>
      <c r="E1011" s="25"/>
      <c r="F1011" s="25"/>
      <c r="G1011" s="25"/>
      <c r="H1011" s="25"/>
      <c r="I1011" s="25"/>
      <c r="J1011" s="25"/>
      <c r="K1011" s="25"/>
      <c r="L1011" s="25"/>
      <c r="M1011" s="25"/>
      <c r="N1011" s="25"/>
      <c r="O1011" s="25"/>
      <c r="P1011" s="25"/>
      <c r="Q1011" s="25"/>
      <c r="R1011" s="25"/>
      <c r="S1011" s="25"/>
      <c r="T1011" s="25"/>
      <c r="U1011" s="25"/>
      <c r="V1011" s="25"/>
      <c r="W1011" s="25"/>
      <c r="X1011" s="25"/>
      <c r="Y1011" s="25"/>
      <c r="Z1011" s="25"/>
      <c r="AA1011" s="25"/>
    </row>
    <row r="1012">
      <c r="A1012" s="25"/>
      <c r="B1012" s="25"/>
      <c r="C1012" s="25"/>
      <c r="D1012" s="25"/>
      <c r="E1012" s="25"/>
      <c r="F1012" s="25"/>
      <c r="G1012" s="25"/>
      <c r="H1012" s="25"/>
      <c r="I1012" s="25"/>
      <c r="J1012" s="25"/>
      <c r="K1012" s="25"/>
      <c r="L1012" s="25"/>
      <c r="M1012" s="25"/>
      <c r="N1012" s="25"/>
      <c r="O1012" s="25"/>
      <c r="P1012" s="25"/>
      <c r="Q1012" s="25"/>
      <c r="R1012" s="25"/>
      <c r="S1012" s="25"/>
      <c r="T1012" s="25"/>
      <c r="U1012" s="25"/>
      <c r="V1012" s="25"/>
      <c r="W1012" s="25"/>
      <c r="X1012" s="25"/>
      <c r="Y1012" s="25"/>
      <c r="Z1012" s="25"/>
      <c r="AA1012" s="25"/>
    </row>
    <row r="1013">
      <c r="A1013" s="25"/>
      <c r="B1013" s="25"/>
      <c r="C1013" s="25"/>
      <c r="D1013" s="25"/>
      <c r="E1013" s="25"/>
      <c r="F1013" s="25"/>
      <c r="G1013" s="25"/>
      <c r="H1013" s="25"/>
      <c r="I1013" s="25"/>
      <c r="J1013" s="25"/>
      <c r="K1013" s="25"/>
      <c r="L1013" s="25"/>
      <c r="M1013" s="25"/>
      <c r="N1013" s="25"/>
      <c r="O1013" s="25"/>
      <c r="P1013" s="25"/>
      <c r="Q1013" s="25"/>
      <c r="R1013" s="25"/>
      <c r="S1013" s="25"/>
      <c r="T1013" s="25"/>
      <c r="U1013" s="25"/>
      <c r="V1013" s="25"/>
      <c r="W1013" s="25"/>
      <c r="X1013" s="25"/>
      <c r="Y1013" s="25"/>
      <c r="Z1013" s="25"/>
      <c r="AA1013" s="25"/>
    </row>
    <row r="1014">
      <c r="A1014" s="25"/>
      <c r="B1014" s="25"/>
      <c r="C1014" s="25"/>
      <c r="D1014" s="25"/>
      <c r="E1014" s="25"/>
      <c r="F1014" s="25"/>
      <c r="G1014" s="25"/>
      <c r="H1014" s="25"/>
      <c r="I1014" s="25"/>
      <c r="J1014" s="25"/>
      <c r="K1014" s="25"/>
      <c r="L1014" s="25"/>
      <c r="M1014" s="25"/>
      <c r="N1014" s="25"/>
      <c r="O1014" s="25"/>
      <c r="P1014" s="25"/>
      <c r="Q1014" s="25"/>
      <c r="R1014" s="25"/>
      <c r="S1014" s="25"/>
      <c r="T1014" s="25"/>
      <c r="U1014" s="25"/>
      <c r="V1014" s="25"/>
      <c r="W1014" s="25"/>
      <c r="X1014" s="25"/>
      <c r="Y1014" s="25"/>
      <c r="Z1014" s="25"/>
      <c r="AA1014" s="25"/>
    </row>
    <row r="1015">
      <c r="A1015" s="25"/>
      <c r="B1015" s="25"/>
      <c r="C1015" s="25"/>
      <c r="D1015" s="25"/>
      <c r="E1015" s="25"/>
      <c r="F1015" s="25"/>
      <c r="G1015" s="25"/>
      <c r="H1015" s="25"/>
      <c r="I1015" s="25"/>
      <c r="J1015" s="25"/>
      <c r="K1015" s="25"/>
      <c r="L1015" s="25"/>
      <c r="M1015" s="25"/>
      <c r="N1015" s="25"/>
      <c r="O1015" s="25"/>
      <c r="P1015" s="25"/>
      <c r="Q1015" s="25"/>
      <c r="R1015" s="25"/>
      <c r="S1015" s="25"/>
      <c r="T1015" s="25"/>
      <c r="U1015" s="25"/>
      <c r="V1015" s="25"/>
      <c r="W1015" s="25"/>
      <c r="X1015" s="25"/>
      <c r="Y1015" s="25"/>
      <c r="Z1015" s="25"/>
      <c r="AA1015" s="25"/>
    </row>
    <row r="1016">
      <c r="A1016" s="25"/>
      <c r="B1016" s="25"/>
      <c r="C1016" s="25"/>
      <c r="D1016" s="25"/>
      <c r="E1016" s="25"/>
      <c r="F1016" s="25"/>
      <c r="G1016" s="25"/>
      <c r="H1016" s="25"/>
      <c r="I1016" s="25"/>
      <c r="J1016" s="25"/>
      <c r="K1016" s="25"/>
      <c r="L1016" s="25"/>
      <c r="M1016" s="25"/>
      <c r="N1016" s="25"/>
      <c r="O1016" s="25"/>
      <c r="P1016" s="25"/>
      <c r="Q1016" s="25"/>
      <c r="R1016" s="25"/>
      <c r="S1016" s="25"/>
      <c r="T1016" s="25"/>
      <c r="U1016" s="25"/>
      <c r="V1016" s="25"/>
      <c r="W1016" s="25"/>
      <c r="X1016" s="25"/>
      <c r="Y1016" s="25"/>
      <c r="Z1016" s="25"/>
      <c r="AA1016" s="25"/>
    </row>
    <row r="1017">
      <c r="A1017" s="25"/>
      <c r="B1017" s="25"/>
      <c r="C1017" s="25"/>
      <c r="D1017" s="25"/>
      <c r="E1017" s="25"/>
      <c r="F1017" s="25"/>
      <c r="G1017" s="25"/>
      <c r="H1017" s="25"/>
      <c r="I1017" s="25"/>
      <c r="J1017" s="25"/>
      <c r="K1017" s="25"/>
      <c r="L1017" s="25"/>
      <c r="M1017" s="25"/>
      <c r="N1017" s="25"/>
      <c r="O1017" s="25"/>
      <c r="P1017" s="25"/>
      <c r="Q1017" s="25"/>
      <c r="R1017" s="25"/>
      <c r="S1017" s="25"/>
      <c r="T1017" s="25"/>
      <c r="U1017" s="25"/>
      <c r="V1017" s="25"/>
      <c r="W1017" s="25"/>
      <c r="X1017" s="25"/>
      <c r="Y1017" s="25"/>
      <c r="Z1017" s="25"/>
      <c r="AA1017" s="25"/>
    </row>
    <row r="1018">
      <c r="A1018" s="25"/>
      <c r="B1018" s="25"/>
      <c r="C1018" s="25"/>
      <c r="D1018" s="25"/>
      <c r="E1018" s="25"/>
      <c r="F1018" s="25"/>
      <c r="G1018" s="25"/>
      <c r="H1018" s="25"/>
      <c r="I1018" s="25"/>
      <c r="J1018" s="25"/>
      <c r="K1018" s="25"/>
      <c r="L1018" s="25"/>
      <c r="M1018" s="25"/>
      <c r="N1018" s="25"/>
      <c r="O1018" s="25"/>
      <c r="P1018" s="25"/>
      <c r="Q1018" s="25"/>
      <c r="R1018" s="25"/>
      <c r="S1018" s="25"/>
      <c r="T1018" s="25"/>
      <c r="U1018" s="25"/>
      <c r="V1018" s="25"/>
      <c r="W1018" s="25"/>
      <c r="X1018" s="25"/>
      <c r="Y1018" s="25"/>
      <c r="Z1018" s="25"/>
      <c r="AA1018" s="25"/>
    </row>
    <row r="1019">
      <c r="A1019" s="25"/>
      <c r="B1019" s="25"/>
      <c r="C1019" s="25"/>
      <c r="D1019" s="25"/>
      <c r="E1019" s="25"/>
      <c r="F1019" s="25"/>
      <c r="G1019" s="25"/>
      <c r="H1019" s="25"/>
      <c r="I1019" s="25"/>
      <c r="J1019" s="25"/>
      <c r="K1019" s="25"/>
      <c r="L1019" s="25"/>
      <c r="M1019" s="25"/>
      <c r="N1019" s="25"/>
      <c r="O1019" s="25"/>
      <c r="P1019" s="25"/>
      <c r="Q1019" s="25"/>
      <c r="R1019" s="25"/>
      <c r="S1019" s="25"/>
      <c r="T1019" s="25"/>
      <c r="U1019" s="25"/>
      <c r="V1019" s="25"/>
      <c r="W1019" s="25"/>
      <c r="X1019" s="25"/>
      <c r="Y1019" s="25"/>
      <c r="Z1019" s="25"/>
      <c r="AA1019" s="25"/>
    </row>
    <row r="1020">
      <c r="A1020" s="25"/>
      <c r="B1020" s="25"/>
      <c r="C1020" s="25"/>
      <c r="D1020" s="25"/>
      <c r="E1020" s="25"/>
      <c r="F1020" s="25"/>
      <c r="G1020" s="25"/>
      <c r="H1020" s="25"/>
      <c r="I1020" s="25"/>
      <c r="J1020" s="25"/>
      <c r="K1020" s="25"/>
      <c r="L1020" s="25"/>
      <c r="M1020" s="25"/>
      <c r="N1020" s="25"/>
      <c r="O1020" s="25"/>
      <c r="P1020" s="25"/>
      <c r="Q1020" s="25"/>
      <c r="R1020" s="25"/>
      <c r="S1020" s="25"/>
      <c r="T1020" s="25"/>
      <c r="U1020" s="25"/>
      <c r="V1020" s="25"/>
      <c r="W1020" s="25"/>
      <c r="X1020" s="25"/>
      <c r="Y1020" s="25"/>
      <c r="Z1020" s="25"/>
      <c r="AA1020" s="25"/>
    </row>
    <row r="1021">
      <c r="A1021" s="25"/>
      <c r="B1021" s="25"/>
      <c r="C1021" s="25"/>
      <c r="D1021" s="25"/>
      <c r="E1021" s="25"/>
      <c r="F1021" s="25"/>
      <c r="G1021" s="25"/>
      <c r="H1021" s="25"/>
      <c r="I1021" s="25"/>
      <c r="J1021" s="25"/>
      <c r="K1021" s="25"/>
      <c r="L1021" s="25"/>
      <c r="M1021" s="25"/>
      <c r="N1021" s="25"/>
      <c r="O1021" s="25"/>
      <c r="P1021" s="25"/>
      <c r="Q1021" s="25"/>
      <c r="R1021" s="25"/>
      <c r="S1021" s="25"/>
      <c r="T1021" s="25"/>
      <c r="U1021" s="25"/>
      <c r="V1021" s="25"/>
      <c r="W1021" s="25"/>
      <c r="X1021" s="25"/>
      <c r="Y1021" s="25"/>
      <c r="Z1021" s="25"/>
      <c r="AA1021" s="25"/>
    </row>
    <row r="1022">
      <c r="A1022" s="25"/>
      <c r="B1022" s="25"/>
      <c r="C1022" s="25"/>
      <c r="D1022" s="25"/>
      <c r="E1022" s="25"/>
      <c r="F1022" s="25"/>
      <c r="G1022" s="25"/>
      <c r="H1022" s="25"/>
      <c r="I1022" s="25"/>
      <c r="J1022" s="25"/>
      <c r="K1022" s="25"/>
      <c r="L1022" s="25"/>
      <c r="M1022" s="25"/>
      <c r="N1022" s="25"/>
      <c r="O1022" s="25"/>
      <c r="P1022" s="25"/>
      <c r="Q1022" s="25"/>
      <c r="R1022" s="25"/>
      <c r="S1022" s="25"/>
      <c r="T1022" s="25"/>
      <c r="U1022" s="25"/>
      <c r="V1022" s="25"/>
      <c r="W1022" s="25"/>
      <c r="X1022" s="25"/>
      <c r="Y1022" s="25"/>
      <c r="Z1022" s="25"/>
      <c r="AA1022" s="25"/>
    </row>
    <row r="1023">
      <c r="A1023" s="25"/>
      <c r="B1023" s="25"/>
      <c r="C1023" s="25"/>
      <c r="D1023" s="25"/>
      <c r="E1023" s="25"/>
      <c r="F1023" s="25"/>
      <c r="G1023" s="25"/>
      <c r="H1023" s="25"/>
      <c r="I1023" s="25"/>
      <c r="J1023" s="25"/>
      <c r="K1023" s="25"/>
      <c r="L1023" s="25"/>
      <c r="M1023" s="25"/>
      <c r="N1023" s="25"/>
      <c r="O1023" s="25"/>
      <c r="P1023" s="25"/>
      <c r="Q1023" s="25"/>
      <c r="R1023" s="25"/>
      <c r="S1023" s="25"/>
      <c r="T1023" s="25"/>
      <c r="U1023" s="25"/>
      <c r="V1023" s="25"/>
      <c r="W1023" s="25"/>
      <c r="X1023" s="25"/>
      <c r="Y1023" s="25"/>
      <c r="Z1023" s="25"/>
      <c r="AA1023" s="25"/>
    </row>
    <row r="1024">
      <c r="A1024" s="25"/>
      <c r="B1024" s="25"/>
      <c r="C1024" s="25"/>
      <c r="D1024" s="25"/>
      <c r="E1024" s="25"/>
      <c r="F1024" s="25"/>
      <c r="G1024" s="25"/>
      <c r="H1024" s="25"/>
      <c r="I1024" s="25"/>
      <c r="J1024" s="25"/>
      <c r="K1024" s="25"/>
      <c r="L1024" s="25"/>
      <c r="M1024" s="25"/>
      <c r="N1024" s="25"/>
      <c r="O1024" s="25"/>
      <c r="P1024" s="25"/>
      <c r="Q1024" s="25"/>
      <c r="R1024" s="25"/>
      <c r="S1024" s="25"/>
      <c r="T1024" s="25"/>
      <c r="U1024" s="25"/>
      <c r="V1024" s="25"/>
      <c r="W1024" s="25"/>
      <c r="X1024" s="25"/>
      <c r="Y1024" s="25"/>
      <c r="Z1024" s="25"/>
      <c r="AA1024" s="25"/>
    </row>
    <row r="1025">
      <c r="A1025" s="25"/>
      <c r="B1025" s="25"/>
      <c r="C1025" s="25"/>
      <c r="D1025" s="25"/>
      <c r="E1025" s="25"/>
      <c r="F1025" s="25"/>
      <c r="G1025" s="25"/>
      <c r="H1025" s="25"/>
      <c r="I1025" s="25"/>
      <c r="J1025" s="25"/>
      <c r="K1025" s="25"/>
      <c r="L1025" s="25"/>
      <c r="M1025" s="25"/>
      <c r="N1025" s="25"/>
      <c r="O1025" s="25"/>
      <c r="P1025" s="25"/>
      <c r="Q1025" s="25"/>
      <c r="R1025" s="25"/>
      <c r="S1025" s="25"/>
      <c r="T1025" s="25"/>
      <c r="U1025" s="25"/>
      <c r="V1025" s="25"/>
      <c r="W1025" s="25"/>
      <c r="X1025" s="25"/>
      <c r="Y1025" s="25"/>
      <c r="Z1025" s="25"/>
      <c r="AA1025" s="25"/>
    </row>
    <row r="1026">
      <c r="A1026" s="25"/>
      <c r="B1026" s="25"/>
      <c r="C1026" s="25"/>
      <c r="D1026" s="25"/>
      <c r="E1026" s="25"/>
      <c r="F1026" s="25"/>
      <c r="G1026" s="25"/>
      <c r="H1026" s="25"/>
      <c r="I1026" s="25"/>
      <c r="J1026" s="25"/>
      <c r="K1026" s="25"/>
      <c r="L1026" s="25"/>
      <c r="M1026" s="25"/>
      <c r="N1026" s="25"/>
      <c r="O1026" s="25"/>
      <c r="P1026" s="25"/>
      <c r="Q1026" s="25"/>
      <c r="R1026" s="25"/>
      <c r="S1026" s="25"/>
      <c r="T1026" s="25"/>
      <c r="U1026" s="25"/>
      <c r="V1026" s="25"/>
      <c r="W1026" s="25"/>
      <c r="X1026" s="25"/>
      <c r="Y1026" s="25"/>
      <c r="Z1026" s="25"/>
      <c r="AA1026" s="25"/>
    </row>
    <row r="1027">
      <c r="A1027" s="25"/>
      <c r="B1027" s="25"/>
      <c r="C1027" s="25"/>
      <c r="D1027" s="25"/>
      <c r="E1027" s="25"/>
      <c r="F1027" s="25"/>
      <c r="G1027" s="25"/>
      <c r="H1027" s="25"/>
      <c r="I1027" s="25"/>
      <c r="J1027" s="25"/>
      <c r="K1027" s="25"/>
      <c r="L1027" s="25"/>
      <c r="M1027" s="25"/>
      <c r="N1027" s="25"/>
      <c r="O1027" s="25"/>
      <c r="P1027" s="25"/>
      <c r="Q1027" s="25"/>
      <c r="R1027" s="25"/>
      <c r="S1027" s="25"/>
      <c r="T1027" s="25"/>
      <c r="U1027" s="25"/>
      <c r="V1027" s="25"/>
      <c r="W1027" s="25"/>
      <c r="X1027" s="25"/>
      <c r="Y1027" s="25"/>
      <c r="Z1027" s="25"/>
      <c r="AA1027" s="25"/>
    </row>
    <row r="1028">
      <c r="A1028" s="25"/>
      <c r="B1028" s="25"/>
      <c r="C1028" s="25"/>
      <c r="D1028" s="25"/>
      <c r="E1028" s="25"/>
      <c r="F1028" s="25"/>
      <c r="G1028" s="25"/>
      <c r="H1028" s="25"/>
      <c r="I1028" s="25"/>
      <c r="J1028" s="25"/>
      <c r="K1028" s="25"/>
      <c r="L1028" s="25"/>
      <c r="M1028" s="25"/>
      <c r="N1028" s="25"/>
      <c r="O1028" s="25"/>
      <c r="P1028" s="25"/>
      <c r="Q1028" s="25"/>
      <c r="R1028" s="25"/>
      <c r="S1028" s="25"/>
      <c r="T1028" s="25"/>
      <c r="U1028" s="25"/>
      <c r="V1028" s="25"/>
      <c r="W1028" s="25"/>
      <c r="X1028" s="25"/>
      <c r="Y1028" s="25"/>
      <c r="Z1028" s="25"/>
      <c r="AA1028" s="25"/>
    </row>
    <row r="1029">
      <c r="A1029" s="25"/>
      <c r="B1029" s="25"/>
      <c r="C1029" s="25"/>
      <c r="D1029" s="25"/>
      <c r="E1029" s="25"/>
      <c r="F1029" s="25"/>
      <c r="G1029" s="25"/>
      <c r="H1029" s="25"/>
      <c r="I1029" s="25"/>
      <c r="J1029" s="25"/>
      <c r="K1029" s="25"/>
      <c r="L1029" s="25"/>
      <c r="M1029" s="25"/>
      <c r="N1029" s="25"/>
      <c r="O1029" s="25"/>
      <c r="P1029" s="25"/>
      <c r="Q1029" s="25"/>
      <c r="R1029" s="25"/>
      <c r="S1029" s="25"/>
      <c r="T1029" s="25"/>
      <c r="U1029" s="25"/>
      <c r="V1029" s="25"/>
      <c r="W1029" s="25"/>
      <c r="X1029" s="25"/>
      <c r="Y1029" s="25"/>
      <c r="Z1029" s="25"/>
      <c r="AA1029" s="25"/>
    </row>
    <row r="1030">
      <c r="A1030" s="25"/>
      <c r="B1030" s="25"/>
      <c r="C1030" s="25"/>
      <c r="D1030" s="25"/>
      <c r="E1030" s="25"/>
      <c r="F1030" s="25"/>
      <c r="G1030" s="25"/>
      <c r="H1030" s="25"/>
      <c r="I1030" s="25"/>
      <c r="J1030" s="25"/>
      <c r="K1030" s="25"/>
      <c r="L1030" s="25"/>
      <c r="M1030" s="25"/>
      <c r="N1030" s="25"/>
      <c r="O1030" s="25"/>
      <c r="P1030" s="25"/>
      <c r="Q1030" s="25"/>
      <c r="R1030" s="25"/>
      <c r="S1030" s="25"/>
      <c r="T1030" s="25"/>
      <c r="U1030" s="25"/>
      <c r="V1030" s="25"/>
      <c r="W1030" s="25"/>
      <c r="X1030" s="25"/>
      <c r="Y1030" s="25"/>
      <c r="Z1030" s="25"/>
      <c r="AA1030" s="25"/>
    </row>
    <row r="1031">
      <c r="A1031" s="25"/>
      <c r="B1031" s="25"/>
      <c r="C1031" s="25"/>
      <c r="D1031" s="25"/>
      <c r="E1031" s="25"/>
      <c r="F1031" s="25"/>
      <c r="G1031" s="25"/>
      <c r="H1031" s="25"/>
      <c r="I1031" s="25"/>
      <c r="J1031" s="25"/>
      <c r="K1031" s="25"/>
      <c r="L1031" s="25"/>
      <c r="M1031" s="25"/>
      <c r="N1031" s="25"/>
      <c r="O1031" s="25"/>
      <c r="P1031" s="25"/>
      <c r="Q1031" s="25"/>
      <c r="R1031" s="25"/>
      <c r="S1031" s="25"/>
      <c r="T1031" s="25"/>
      <c r="U1031" s="25"/>
      <c r="V1031" s="25"/>
      <c r="W1031" s="25"/>
      <c r="X1031" s="25"/>
      <c r="Y1031" s="25"/>
      <c r="Z1031" s="25"/>
      <c r="AA1031" s="25"/>
    </row>
    <row r="1032">
      <c r="A1032" s="25"/>
      <c r="B1032" s="25"/>
      <c r="C1032" s="25"/>
      <c r="D1032" s="25"/>
      <c r="E1032" s="25"/>
      <c r="F1032" s="25"/>
      <c r="G1032" s="25"/>
      <c r="H1032" s="25"/>
      <c r="I1032" s="25"/>
      <c r="J1032" s="25"/>
      <c r="K1032" s="25"/>
      <c r="L1032" s="25"/>
      <c r="M1032" s="25"/>
      <c r="N1032" s="25"/>
      <c r="O1032" s="25"/>
      <c r="P1032" s="25"/>
      <c r="Q1032" s="25"/>
      <c r="R1032" s="25"/>
      <c r="S1032" s="25"/>
      <c r="T1032" s="25"/>
      <c r="U1032" s="25"/>
      <c r="V1032" s="25"/>
      <c r="W1032" s="25"/>
      <c r="X1032" s="25"/>
      <c r="Y1032" s="25"/>
      <c r="Z1032" s="25"/>
      <c r="AA1032" s="25"/>
    </row>
    <row r="1033">
      <c r="A1033" s="25"/>
      <c r="B1033" s="25"/>
      <c r="C1033" s="25"/>
      <c r="D1033" s="25"/>
      <c r="E1033" s="25"/>
      <c r="F1033" s="25"/>
      <c r="G1033" s="25"/>
      <c r="H1033" s="25"/>
      <c r="I1033" s="25"/>
      <c r="J1033" s="25"/>
      <c r="K1033" s="25"/>
      <c r="L1033" s="25"/>
      <c r="M1033" s="25"/>
      <c r="N1033" s="25"/>
      <c r="O1033" s="25"/>
      <c r="P1033" s="25"/>
      <c r="Q1033" s="25"/>
      <c r="R1033" s="25"/>
      <c r="S1033" s="25"/>
      <c r="T1033" s="25"/>
      <c r="U1033" s="25"/>
      <c r="V1033" s="25"/>
      <c r="W1033" s="25"/>
      <c r="X1033" s="25"/>
      <c r="Y1033" s="25"/>
      <c r="Z1033" s="25"/>
      <c r="AA1033" s="25"/>
    </row>
    <row r="1034">
      <c r="A1034" s="25"/>
      <c r="B1034" s="25"/>
      <c r="C1034" s="25"/>
      <c r="D1034" s="25"/>
      <c r="E1034" s="25"/>
      <c r="F1034" s="25"/>
      <c r="G1034" s="25"/>
      <c r="H1034" s="25"/>
      <c r="I1034" s="25"/>
      <c r="J1034" s="25"/>
      <c r="K1034" s="25"/>
      <c r="L1034" s="25"/>
      <c r="M1034" s="25"/>
      <c r="N1034" s="25"/>
      <c r="O1034" s="25"/>
      <c r="P1034" s="25"/>
      <c r="Q1034" s="25"/>
      <c r="R1034" s="25"/>
      <c r="S1034" s="25"/>
      <c r="T1034" s="25"/>
      <c r="U1034" s="25"/>
      <c r="V1034" s="25"/>
      <c r="W1034" s="25"/>
      <c r="X1034" s="25"/>
      <c r="Y1034" s="25"/>
      <c r="Z1034" s="25"/>
      <c r="AA1034" s="25"/>
    </row>
    <row r="1035">
      <c r="A1035" s="25"/>
      <c r="B1035" s="25"/>
      <c r="C1035" s="25"/>
      <c r="D1035" s="25"/>
      <c r="E1035" s="25"/>
      <c r="F1035" s="25"/>
      <c r="G1035" s="25"/>
      <c r="H1035" s="25"/>
      <c r="I1035" s="25"/>
      <c r="J1035" s="25"/>
      <c r="K1035" s="25"/>
      <c r="L1035" s="25"/>
      <c r="M1035" s="25"/>
      <c r="N1035" s="25"/>
      <c r="O1035" s="25"/>
      <c r="P1035" s="25"/>
      <c r="Q1035" s="25"/>
      <c r="R1035" s="25"/>
      <c r="S1035" s="25"/>
      <c r="T1035" s="25"/>
      <c r="U1035" s="25"/>
      <c r="V1035" s="25"/>
      <c r="W1035" s="25"/>
      <c r="X1035" s="25"/>
      <c r="Y1035" s="25"/>
      <c r="Z1035" s="25"/>
      <c r="AA1035" s="25"/>
    </row>
    <row r="1036">
      <c r="A1036" s="25"/>
      <c r="B1036" s="25"/>
      <c r="C1036" s="25"/>
      <c r="D1036" s="25"/>
      <c r="E1036" s="25"/>
      <c r="F1036" s="25"/>
      <c r="G1036" s="25"/>
      <c r="H1036" s="25"/>
      <c r="I1036" s="25"/>
      <c r="J1036" s="25"/>
      <c r="K1036" s="25"/>
      <c r="L1036" s="25"/>
      <c r="M1036" s="25"/>
      <c r="N1036" s="25"/>
      <c r="O1036" s="25"/>
      <c r="P1036" s="25"/>
      <c r="Q1036" s="25"/>
      <c r="R1036" s="25"/>
      <c r="S1036" s="25"/>
      <c r="T1036" s="25"/>
      <c r="U1036" s="25"/>
      <c r="V1036" s="25"/>
      <c r="W1036" s="25"/>
      <c r="X1036" s="25"/>
      <c r="Y1036" s="25"/>
      <c r="Z1036" s="25"/>
      <c r="AA1036" s="25"/>
    </row>
    <row r="1037">
      <c r="A1037" s="25"/>
      <c r="B1037" s="25"/>
      <c r="C1037" s="25"/>
      <c r="D1037" s="25"/>
      <c r="E1037" s="25"/>
      <c r="F1037" s="25"/>
      <c r="G1037" s="25"/>
      <c r="H1037" s="25"/>
      <c r="I1037" s="25"/>
      <c r="J1037" s="25"/>
      <c r="K1037" s="25"/>
      <c r="L1037" s="25"/>
      <c r="M1037" s="25"/>
      <c r="N1037" s="25"/>
      <c r="O1037" s="25"/>
      <c r="P1037" s="25"/>
      <c r="Q1037" s="25"/>
      <c r="R1037" s="25"/>
      <c r="S1037" s="25"/>
      <c r="T1037" s="25"/>
      <c r="U1037" s="25"/>
      <c r="V1037" s="25"/>
      <c r="W1037" s="25"/>
      <c r="X1037" s="25"/>
      <c r="Y1037" s="25"/>
      <c r="Z1037" s="25"/>
      <c r="AA1037" s="25"/>
    </row>
    <row r="1038">
      <c r="A1038" s="25"/>
      <c r="B1038" s="25"/>
      <c r="C1038" s="25"/>
      <c r="D1038" s="25"/>
      <c r="E1038" s="25"/>
      <c r="F1038" s="25"/>
      <c r="G1038" s="25"/>
      <c r="H1038" s="25"/>
      <c r="I1038" s="25"/>
      <c r="J1038" s="25"/>
      <c r="K1038" s="25"/>
      <c r="L1038" s="25"/>
      <c r="M1038" s="25"/>
      <c r="N1038" s="25"/>
      <c r="O1038" s="25"/>
      <c r="P1038" s="25"/>
      <c r="Q1038" s="25"/>
      <c r="R1038" s="25"/>
      <c r="S1038" s="25"/>
      <c r="T1038" s="25"/>
      <c r="U1038" s="25"/>
      <c r="V1038" s="25"/>
      <c r="W1038" s="25"/>
      <c r="X1038" s="25"/>
      <c r="Y1038" s="25"/>
      <c r="Z1038" s="25"/>
      <c r="AA1038" s="25"/>
    </row>
    <row r="1039">
      <c r="A1039" s="25"/>
      <c r="B1039" s="25"/>
      <c r="C1039" s="25"/>
      <c r="D1039" s="25"/>
      <c r="E1039" s="25"/>
      <c r="F1039" s="25"/>
      <c r="G1039" s="25"/>
      <c r="H1039" s="25"/>
      <c r="I1039" s="25"/>
      <c r="J1039" s="25"/>
      <c r="K1039" s="25"/>
      <c r="L1039" s="25"/>
      <c r="M1039" s="25"/>
      <c r="N1039" s="25"/>
      <c r="O1039" s="25"/>
      <c r="P1039" s="25"/>
      <c r="Q1039" s="25"/>
      <c r="R1039" s="25"/>
      <c r="S1039" s="25"/>
      <c r="T1039" s="25"/>
      <c r="U1039" s="25"/>
      <c r="V1039" s="25"/>
      <c r="W1039" s="25"/>
      <c r="X1039" s="25"/>
      <c r="Y1039" s="25"/>
      <c r="Z1039" s="25"/>
      <c r="AA1039" s="25"/>
    </row>
    <row r="1040">
      <c r="A1040" s="25"/>
      <c r="B1040" s="25"/>
      <c r="C1040" s="25"/>
      <c r="D1040" s="25"/>
      <c r="E1040" s="25"/>
      <c r="F1040" s="25"/>
      <c r="G1040" s="25"/>
      <c r="H1040" s="25"/>
      <c r="I1040" s="25"/>
      <c r="J1040" s="25"/>
      <c r="K1040" s="25"/>
      <c r="L1040" s="25"/>
      <c r="M1040" s="25"/>
      <c r="N1040" s="25"/>
      <c r="O1040" s="25"/>
      <c r="P1040" s="25"/>
      <c r="Q1040" s="25"/>
      <c r="R1040" s="25"/>
      <c r="S1040" s="25"/>
      <c r="T1040" s="25"/>
      <c r="U1040" s="25"/>
      <c r="V1040" s="25"/>
      <c r="W1040" s="25"/>
      <c r="X1040" s="25"/>
      <c r="Y1040" s="25"/>
      <c r="Z1040" s="25"/>
      <c r="AA1040" s="25"/>
    </row>
    <row r="1041">
      <c r="A1041" s="25"/>
      <c r="B1041" s="25"/>
      <c r="C1041" s="25"/>
      <c r="D1041" s="25"/>
      <c r="E1041" s="25"/>
      <c r="F1041" s="25"/>
      <c r="G1041" s="25"/>
      <c r="H1041" s="25"/>
      <c r="I1041" s="25"/>
      <c r="J1041" s="25"/>
      <c r="K1041" s="25"/>
      <c r="L1041" s="25"/>
      <c r="M1041" s="25"/>
      <c r="N1041" s="25"/>
      <c r="O1041" s="25"/>
      <c r="P1041" s="25"/>
      <c r="Q1041" s="25"/>
      <c r="R1041" s="25"/>
      <c r="S1041" s="25"/>
      <c r="T1041" s="25"/>
      <c r="U1041" s="25"/>
      <c r="V1041" s="25"/>
      <c r="W1041" s="25"/>
      <c r="X1041" s="25"/>
      <c r="Y1041" s="25"/>
      <c r="Z1041" s="25"/>
      <c r="AA1041" s="25"/>
    </row>
    <row r="1042">
      <c r="A1042" s="25"/>
      <c r="B1042" s="25"/>
      <c r="C1042" s="25"/>
      <c r="D1042" s="25"/>
      <c r="E1042" s="25"/>
      <c r="F1042" s="25"/>
      <c r="G1042" s="25"/>
      <c r="H1042" s="25"/>
      <c r="I1042" s="25"/>
      <c r="J1042" s="25"/>
      <c r="K1042" s="25"/>
      <c r="L1042" s="25"/>
      <c r="M1042" s="25"/>
      <c r="N1042" s="25"/>
      <c r="O1042" s="25"/>
      <c r="P1042" s="25"/>
      <c r="Q1042" s="25"/>
      <c r="R1042" s="25"/>
      <c r="S1042" s="25"/>
      <c r="T1042" s="25"/>
      <c r="U1042" s="25"/>
      <c r="V1042" s="25"/>
      <c r="W1042" s="25"/>
      <c r="X1042" s="25"/>
      <c r="Y1042" s="25"/>
      <c r="Z1042" s="25"/>
      <c r="AA1042" s="25"/>
    </row>
    <row r="1043">
      <c r="A1043" s="25"/>
      <c r="B1043" s="25"/>
      <c r="C1043" s="25"/>
      <c r="D1043" s="25"/>
      <c r="E1043" s="25"/>
      <c r="F1043" s="25"/>
      <c r="G1043" s="25"/>
      <c r="H1043" s="25"/>
      <c r="I1043" s="25"/>
      <c r="J1043" s="25"/>
      <c r="K1043" s="25"/>
      <c r="L1043" s="25"/>
      <c r="M1043" s="25"/>
      <c r="N1043" s="25"/>
      <c r="O1043" s="25"/>
      <c r="P1043" s="25"/>
      <c r="Q1043" s="25"/>
      <c r="R1043" s="25"/>
      <c r="S1043" s="25"/>
      <c r="T1043" s="25"/>
      <c r="U1043" s="25"/>
      <c r="V1043" s="25"/>
      <c r="W1043" s="25"/>
      <c r="X1043" s="25"/>
      <c r="Y1043" s="25"/>
      <c r="Z1043" s="25"/>
      <c r="AA1043" s="25"/>
    </row>
    <row r="1044">
      <c r="A1044" s="25"/>
      <c r="B1044" s="25"/>
      <c r="C1044" s="25"/>
      <c r="D1044" s="25"/>
      <c r="E1044" s="25"/>
      <c r="F1044" s="25"/>
      <c r="G1044" s="25"/>
      <c r="H1044" s="25"/>
      <c r="I1044" s="25"/>
      <c r="J1044" s="25"/>
      <c r="K1044" s="25"/>
      <c r="L1044" s="25"/>
      <c r="M1044" s="25"/>
      <c r="N1044" s="25"/>
      <c r="O1044" s="25"/>
      <c r="P1044" s="25"/>
      <c r="Q1044" s="25"/>
      <c r="R1044" s="25"/>
      <c r="S1044" s="25"/>
      <c r="T1044" s="25"/>
      <c r="U1044" s="25"/>
      <c r="V1044" s="25"/>
      <c r="W1044" s="25"/>
      <c r="X1044" s="25"/>
      <c r="Y1044" s="25"/>
      <c r="Z1044" s="25"/>
      <c r="AA1044" s="25"/>
    </row>
    <row r="1045">
      <c r="A1045" s="25"/>
      <c r="B1045" s="25"/>
      <c r="C1045" s="25"/>
      <c r="D1045" s="25"/>
      <c r="E1045" s="25"/>
      <c r="F1045" s="25"/>
      <c r="G1045" s="25"/>
      <c r="H1045" s="25"/>
      <c r="I1045" s="25"/>
      <c r="J1045" s="25"/>
      <c r="K1045" s="25"/>
      <c r="L1045" s="25"/>
      <c r="M1045" s="25"/>
      <c r="N1045" s="25"/>
      <c r="O1045" s="25"/>
      <c r="P1045" s="25"/>
      <c r="Q1045" s="25"/>
      <c r="R1045" s="25"/>
      <c r="S1045" s="25"/>
      <c r="T1045" s="25"/>
      <c r="U1045" s="25"/>
      <c r="V1045" s="25"/>
      <c r="W1045" s="25"/>
      <c r="X1045" s="25"/>
      <c r="Y1045" s="25"/>
      <c r="Z1045" s="25"/>
      <c r="AA1045" s="25"/>
    </row>
    <row r="1046">
      <c r="A1046" s="25"/>
      <c r="B1046" s="25"/>
      <c r="C1046" s="25"/>
      <c r="D1046" s="25"/>
      <c r="E1046" s="25"/>
      <c r="F1046" s="25"/>
      <c r="G1046" s="25"/>
      <c r="H1046" s="25"/>
      <c r="I1046" s="25"/>
      <c r="J1046" s="25"/>
      <c r="K1046" s="25"/>
      <c r="L1046" s="25"/>
      <c r="M1046" s="25"/>
      <c r="N1046" s="25"/>
      <c r="O1046" s="25"/>
      <c r="P1046" s="25"/>
      <c r="Q1046" s="25"/>
      <c r="R1046" s="25"/>
      <c r="S1046" s="25"/>
      <c r="T1046" s="25"/>
      <c r="U1046" s="25"/>
      <c r="V1046" s="25"/>
      <c r="W1046" s="25"/>
      <c r="X1046" s="25"/>
      <c r="Y1046" s="25"/>
      <c r="Z1046" s="25"/>
      <c r="AA1046" s="25"/>
    </row>
    <row r="1047">
      <c r="A1047" s="25"/>
      <c r="B1047" s="25"/>
      <c r="C1047" s="25"/>
      <c r="D1047" s="25"/>
      <c r="E1047" s="25"/>
      <c r="F1047" s="25"/>
      <c r="G1047" s="25"/>
      <c r="H1047" s="25"/>
      <c r="I1047" s="25"/>
      <c r="J1047" s="25"/>
      <c r="K1047" s="25"/>
      <c r="L1047" s="25"/>
      <c r="M1047" s="25"/>
      <c r="N1047" s="25"/>
      <c r="O1047" s="25"/>
      <c r="P1047" s="25"/>
      <c r="Q1047" s="25"/>
      <c r="R1047" s="25"/>
      <c r="S1047" s="25"/>
      <c r="T1047" s="25"/>
      <c r="U1047" s="25"/>
      <c r="V1047" s="25"/>
      <c r="W1047" s="25"/>
      <c r="X1047" s="25"/>
      <c r="Y1047" s="25"/>
      <c r="Z1047" s="25"/>
      <c r="AA1047" s="25"/>
    </row>
    <row r="1048">
      <c r="A1048" s="25"/>
      <c r="B1048" s="25"/>
      <c r="C1048" s="25"/>
      <c r="D1048" s="25"/>
      <c r="E1048" s="25"/>
      <c r="F1048" s="25"/>
      <c r="G1048" s="25"/>
      <c r="H1048" s="25"/>
      <c r="I1048" s="25"/>
      <c r="J1048" s="25"/>
      <c r="K1048" s="25"/>
      <c r="L1048" s="25"/>
      <c r="M1048" s="25"/>
      <c r="N1048" s="25"/>
      <c r="O1048" s="25"/>
      <c r="P1048" s="25"/>
      <c r="Q1048" s="25"/>
      <c r="R1048" s="25"/>
      <c r="S1048" s="25"/>
      <c r="T1048" s="25"/>
      <c r="U1048" s="25"/>
      <c r="V1048" s="25"/>
      <c r="W1048" s="25"/>
      <c r="X1048" s="25"/>
      <c r="Y1048" s="25"/>
      <c r="Z1048" s="25"/>
      <c r="AA1048" s="25"/>
    </row>
    <row r="1049">
      <c r="A1049" s="25"/>
      <c r="B1049" s="25"/>
      <c r="C1049" s="25"/>
      <c r="D1049" s="25"/>
      <c r="E1049" s="25"/>
      <c r="F1049" s="25"/>
      <c r="G1049" s="25"/>
      <c r="H1049" s="25"/>
      <c r="I1049" s="25"/>
      <c r="J1049" s="25"/>
      <c r="K1049" s="25"/>
      <c r="L1049" s="25"/>
      <c r="M1049" s="25"/>
      <c r="N1049" s="25"/>
      <c r="O1049" s="25"/>
      <c r="P1049" s="25"/>
      <c r="Q1049" s="25"/>
      <c r="R1049" s="25"/>
      <c r="S1049" s="25"/>
      <c r="T1049" s="25"/>
      <c r="U1049" s="25"/>
      <c r="V1049" s="25"/>
      <c r="W1049" s="25"/>
      <c r="X1049" s="25"/>
      <c r="Y1049" s="25"/>
      <c r="Z1049" s="25"/>
      <c r="AA1049" s="25"/>
    </row>
    <row r="1050">
      <c r="A1050" s="25"/>
      <c r="B1050" s="25"/>
      <c r="C1050" s="25"/>
      <c r="D1050" s="25"/>
      <c r="E1050" s="25"/>
      <c r="F1050" s="25"/>
      <c r="G1050" s="25"/>
      <c r="H1050" s="25"/>
      <c r="I1050" s="25"/>
      <c r="J1050" s="25"/>
      <c r="K1050" s="25"/>
      <c r="L1050" s="25"/>
      <c r="M1050" s="25"/>
      <c r="N1050" s="25"/>
      <c r="O1050" s="25"/>
      <c r="P1050" s="25"/>
      <c r="Q1050" s="25"/>
      <c r="R1050" s="25"/>
      <c r="S1050" s="25"/>
      <c r="T1050" s="25"/>
      <c r="U1050" s="25"/>
      <c r="V1050" s="25"/>
      <c r="W1050" s="25"/>
      <c r="X1050" s="25"/>
      <c r="Y1050" s="25"/>
      <c r="Z1050" s="25"/>
      <c r="AA1050" s="25"/>
    </row>
    <row r="1051">
      <c r="A1051" s="25"/>
      <c r="B1051" s="25"/>
      <c r="C1051" s="25"/>
      <c r="D1051" s="25"/>
      <c r="E1051" s="25"/>
      <c r="F1051" s="25"/>
      <c r="G1051" s="25"/>
      <c r="H1051" s="25"/>
      <c r="I1051" s="25"/>
      <c r="J1051" s="25"/>
      <c r="K1051" s="25"/>
      <c r="L1051" s="25"/>
      <c r="M1051" s="25"/>
      <c r="N1051" s="25"/>
      <c r="O1051" s="25"/>
      <c r="P1051" s="25"/>
      <c r="Q1051" s="25"/>
      <c r="R1051" s="25"/>
      <c r="S1051" s="25"/>
      <c r="T1051" s="25"/>
      <c r="U1051" s="25"/>
      <c r="V1051" s="25"/>
      <c r="W1051" s="25"/>
      <c r="X1051" s="25"/>
      <c r="Y1051" s="25"/>
      <c r="Z1051" s="25"/>
      <c r="AA1051" s="25"/>
    </row>
    <row r="1052">
      <c r="A1052" s="25"/>
      <c r="B1052" s="25"/>
      <c r="C1052" s="25"/>
      <c r="D1052" s="25"/>
      <c r="E1052" s="25"/>
      <c r="F1052" s="25"/>
      <c r="G1052" s="25"/>
      <c r="H1052" s="25"/>
      <c r="I1052" s="25"/>
      <c r="J1052" s="25"/>
      <c r="K1052" s="25"/>
      <c r="L1052" s="25"/>
      <c r="M1052" s="25"/>
      <c r="N1052" s="25"/>
      <c r="O1052" s="25"/>
      <c r="P1052" s="25"/>
      <c r="Q1052" s="25"/>
      <c r="R1052" s="25"/>
      <c r="S1052" s="25"/>
      <c r="T1052" s="25"/>
      <c r="U1052" s="25"/>
      <c r="V1052" s="25"/>
      <c r="W1052" s="25"/>
      <c r="X1052" s="25"/>
      <c r="Y1052" s="25"/>
      <c r="Z1052" s="25"/>
      <c r="AA1052" s="25"/>
    </row>
    <row r="1053">
      <c r="A1053" s="25"/>
      <c r="B1053" s="25"/>
      <c r="C1053" s="25"/>
      <c r="D1053" s="25"/>
      <c r="E1053" s="25"/>
      <c r="F1053" s="25"/>
      <c r="G1053" s="25"/>
      <c r="H1053" s="25"/>
      <c r="I1053" s="25"/>
      <c r="J1053" s="25"/>
      <c r="K1053" s="25"/>
      <c r="L1053" s="25"/>
      <c r="M1053" s="25"/>
      <c r="N1053" s="25"/>
      <c r="O1053" s="25"/>
      <c r="P1053" s="25"/>
      <c r="Q1053" s="25"/>
      <c r="R1053" s="25"/>
      <c r="S1053" s="25"/>
      <c r="T1053" s="25"/>
      <c r="U1053" s="25"/>
      <c r="V1053" s="25"/>
      <c r="W1053" s="25"/>
      <c r="X1053" s="25"/>
      <c r="Y1053" s="25"/>
      <c r="Z1053" s="25"/>
      <c r="AA1053" s="25"/>
    </row>
    <row r="1054">
      <c r="A1054" s="25"/>
      <c r="B1054" s="25"/>
      <c r="C1054" s="25"/>
      <c r="D1054" s="25"/>
      <c r="E1054" s="25"/>
      <c r="F1054" s="25"/>
      <c r="G1054" s="25"/>
      <c r="H1054" s="25"/>
      <c r="I1054" s="25"/>
      <c r="J1054" s="25"/>
      <c r="K1054" s="25"/>
      <c r="L1054" s="25"/>
      <c r="M1054" s="25"/>
      <c r="N1054" s="25"/>
      <c r="O1054" s="25"/>
      <c r="P1054" s="25"/>
      <c r="Q1054" s="25"/>
      <c r="R1054" s="25"/>
      <c r="S1054" s="25"/>
      <c r="T1054" s="25"/>
      <c r="U1054" s="25"/>
      <c r="V1054" s="25"/>
      <c r="W1054" s="25"/>
      <c r="X1054" s="25"/>
      <c r="Y1054" s="25"/>
      <c r="Z1054" s="25"/>
      <c r="AA1054" s="25"/>
    </row>
    <row r="1055">
      <c r="A1055" s="25"/>
      <c r="B1055" s="25"/>
      <c r="C1055" s="25"/>
      <c r="D1055" s="25"/>
      <c r="E1055" s="25"/>
      <c r="F1055" s="25"/>
      <c r="G1055" s="25"/>
      <c r="H1055" s="25"/>
      <c r="I1055" s="25"/>
      <c r="J1055" s="25"/>
      <c r="K1055" s="25"/>
      <c r="L1055" s="25"/>
      <c r="M1055" s="25"/>
      <c r="N1055" s="25"/>
      <c r="O1055" s="25"/>
      <c r="P1055" s="25"/>
      <c r="Q1055" s="25"/>
      <c r="R1055" s="25"/>
      <c r="S1055" s="25"/>
      <c r="T1055" s="25"/>
      <c r="U1055" s="25"/>
      <c r="V1055" s="25"/>
      <c r="W1055" s="25"/>
      <c r="X1055" s="25"/>
      <c r="Y1055" s="25"/>
      <c r="Z1055" s="25"/>
      <c r="AA1055" s="25"/>
    </row>
    <row r="1056">
      <c r="A1056" s="25"/>
      <c r="B1056" s="25"/>
      <c r="C1056" s="25"/>
      <c r="D1056" s="25"/>
      <c r="E1056" s="25"/>
      <c r="F1056" s="25"/>
      <c r="G1056" s="25"/>
      <c r="H1056" s="25"/>
      <c r="I1056" s="25"/>
      <c r="J1056" s="25"/>
      <c r="K1056" s="25"/>
      <c r="L1056" s="25"/>
      <c r="M1056" s="25"/>
      <c r="N1056" s="25"/>
      <c r="O1056" s="25"/>
      <c r="P1056" s="25"/>
      <c r="Q1056" s="25"/>
      <c r="R1056" s="25"/>
      <c r="S1056" s="25"/>
      <c r="T1056" s="25"/>
      <c r="U1056" s="25"/>
      <c r="V1056" s="25"/>
      <c r="W1056" s="25"/>
      <c r="X1056" s="25"/>
      <c r="Y1056" s="25"/>
      <c r="Z1056" s="25"/>
      <c r="AA1056" s="25"/>
    </row>
    <row r="1057">
      <c r="A1057" s="25"/>
      <c r="B1057" s="25"/>
      <c r="C1057" s="25"/>
      <c r="D1057" s="25"/>
      <c r="E1057" s="25"/>
      <c r="F1057" s="25"/>
      <c r="G1057" s="25"/>
      <c r="H1057" s="25"/>
      <c r="I1057" s="25"/>
      <c r="J1057" s="25"/>
      <c r="K1057" s="25"/>
      <c r="L1057" s="25"/>
      <c r="M1057" s="25"/>
      <c r="N1057" s="25"/>
      <c r="O1057" s="25"/>
      <c r="P1057" s="25"/>
      <c r="Q1057" s="25"/>
      <c r="R1057" s="25"/>
      <c r="S1057" s="25"/>
      <c r="T1057" s="25"/>
      <c r="U1057" s="25"/>
      <c r="V1057" s="25"/>
      <c r="W1057" s="25"/>
      <c r="X1057" s="25"/>
      <c r="Y1057" s="25"/>
      <c r="Z1057" s="25"/>
      <c r="AA1057" s="25"/>
    </row>
    <row r="1058">
      <c r="A1058" s="25"/>
      <c r="B1058" s="25"/>
      <c r="C1058" s="25"/>
      <c r="D1058" s="25"/>
      <c r="E1058" s="25"/>
      <c r="F1058" s="25"/>
      <c r="G1058" s="25"/>
      <c r="H1058" s="25"/>
      <c r="I1058" s="25"/>
      <c r="J1058" s="25"/>
      <c r="K1058" s="25"/>
      <c r="L1058" s="25"/>
      <c r="M1058" s="25"/>
      <c r="N1058" s="25"/>
      <c r="O1058" s="25"/>
      <c r="P1058" s="25"/>
      <c r="Q1058" s="25"/>
      <c r="R1058" s="25"/>
      <c r="S1058" s="25"/>
      <c r="T1058" s="25"/>
      <c r="U1058" s="25"/>
      <c r="V1058" s="25"/>
      <c r="W1058" s="25"/>
      <c r="X1058" s="25"/>
      <c r="Y1058" s="25"/>
      <c r="Z1058" s="25"/>
      <c r="AA1058" s="25"/>
    </row>
    <row r="1059">
      <c r="A1059" s="25"/>
      <c r="B1059" s="25"/>
      <c r="C1059" s="25"/>
      <c r="D1059" s="25"/>
      <c r="E1059" s="25"/>
      <c r="F1059" s="25"/>
      <c r="G1059" s="25"/>
      <c r="H1059" s="25"/>
      <c r="I1059" s="25"/>
      <c r="J1059" s="25"/>
      <c r="K1059" s="25"/>
      <c r="L1059" s="25"/>
      <c r="M1059" s="25"/>
      <c r="N1059" s="25"/>
      <c r="O1059" s="25"/>
      <c r="P1059" s="25"/>
      <c r="Q1059" s="25"/>
      <c r="R1059" s="25"/>
      <c r="S1059" s="25"/>
      <c r="T1059" s="25"/>
      <c r="U1059" s="25"/>
      <c r="V1059" s="25"/>
      <c r="W1059" s="25"/>
      <c r="X1059" s="25"/>
      <c r="Y1059" s="25"/>
      <c r="Z1059" s="25"/>
      <c r="AA1059" s="25"/>
    </row>
  </sheetData>
  <printOptions gridLines="1" horizontalCentered="1"/>
  <pageMargins bottom="0.75" footer="0.0" header="0.0" left="0.7" right="0.7" top="0.75"/>
  <pageSetup fitToHeight="0" cellComments="atEnd" orientation="landscape" pageOrder="overThenDown"/>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44.88"/>
    <col customWidth="1" min="4" max="4" width="18.5"/>
    <col customWidth="1" min="6" max="6" width="32.0"/>
    <col customWidth="1" min="7" max="7" width="36.38"/>
  </cols>
  <sheetData>
    <row r="1">
      <c r="A1" s="24"/>
      <c r="B1" s="24" t="s">
        <v>131</v>
      </c>
      <c r="C1" s="24" t="s">
        <v>132</v>
      </c>
      <c r="D1" s="24" t="s">
        <v>133</v>
      </c>
      <c r="E1" s="24" t="s">
        <v>134</v>
      </c>
      <c r="F1" s="25"/>
      <c r="G1" s="24" t="s">
        <v>136</v>
      </c>
      <c r="H1" s="25"/>
      <c r="I1" s="25"/>
      <c r="J1" s="25"/>
      <c r="K1" s="25"/>
      <c r="L1" s="25"/>
      <c r="M1" s="25"/>
      <c r="N1" s="25"/>
      <c r="O1" s="25"/>
      <c r="P1" s="25"/>
      <c r="Q1" s="25"/>
      <c r="R1" s="25"/>
      <c r="S1" s="25"/>
      <c r="T1" s="25"/>
      <c r="U1" s="25"/>
      <c r="V1" s="25"/>
      <c r="W1" s="25"/>
      <c r="X1" s="25"/>
      <c r="Y1" s="25"/>
      <c r="Z1" s="25"/>
      <c r="AA1" s="25"/>
    </row>
    <row r="2" ht="57.75" customHeight="1">
      <c r="A2" s="24" t="s">
        <v>4</v>
      </c>
      <c r="B2" s="25"/>
      <c r="C2" s="24" t="s">
        <v>137</v>
      </c>
      <c r="D2" s="24"/>
      <c r="E2" s="24"/>
      <c r="F2" s="24"/>
      <c r="G2" s="24"/>
      <c r="H2" s="25"/>
      <c r="I2" s="25"/>
      <c r="J2" s="25"/>
      <c r="K2" s="25"/>
      <c r="L2" s="25"/>
      <c r="M2" s="25"/>
      <c r="N2" s="25"/>
      <c r="O2" s="25"/>
      <c r="P2" s="25"/>
      <c r="Q2" s="25"/>
      <c r="R2" s="25"/>
      <c r="S2" s="25"/>
      <c r="T2" s="25"/>
      <c r="U2" s="25"/>
      <c r="V2" s="25"/>
      <c r="W2" s="25"/>
      <c r="X2" s="25"/>
      <c r="Y2" s="25"/>
      <c r="Z2" s="25"/>
      <c r="AA2" s="25"/>
    </row>
    <row r="3">
      <c r="A3" s="24"/>
      <c r="B3" s="24" t="s">
        <v>5</v>
      </c>
      <c r="C3" s="24" t="s">
        <v>138</v>
      </c>
      <c r="D3" s="24"/>
      <c r="E3" s="24"/>
      <c r="F3" s="24"/>
      <c r="G3" s="24"/>
      <c r="H3" s="25"/>
      <c r="I3" s="25"/>
      <c r="J3" s="25"/>
      <c r="K3" s="25"/>
      <c r="L3" s="25"/>
      <c r="M3" s="25"/>
      <c r="N3" s="25"/>
      <c r="O3" s="25"/>
      <c r="P3" s="25"/>
      <c r="Q3" s="25"/>
      <c r="R3" s="25"/>
      <c r="S3" s="25"/>
      <c r="T3" s="25"/>
      <c r="U3" s="25"/>
      <c r="V3" s="25"/>
      <c r="W3" s="25"/>
      <c r="X3" s="25"/>
      <c r="Y3" s="25"/>
      <c r="Z3" s="25"/>
      <c r="AA3" s="25"/>
    </row>
    <row r="4">
      <c r="A4" s="24"/>
      <c r="B4" s="24" t="s">
        <v>7</v>
      </c>
      <c r="C4" s="24" t="s">
        <v>139</v>
      </c>
      <c r="D4" s="24"/>
      <c r="E4" s="24"/>
      <c r="F4" s="24"/>
      <c r="G4" s="24"/>
      <c r="H4" s="25"/>
      <c r="I4" s="25"/>
      <c r="J4" s="25"/>
      <c r="K4" s="25"/>
      <c r="L4" s="25"/>
      <c r="M4" s="25"/>
      <c r="N4" s="25"/>
      <c r="O4" s="25"/>
      <c r="P4" s="25"/>
      <c r="Q4" s="25"/>
      <c r="R4" s="25"/>
      <c r="S4" s="25"/>
      <c r="T4" s="25"/>
      <c r="U4" s="25"/>
      <c r="V4" s="25"/>
      <c r="W4" s="25"/>
      <c r="X4" s="25"/>
      <c r="Y4" s="25"/>
      <c r="Z4" s="25"/>
      <c r="AA4" s="25"/>
    </row>
    <row r="5">
      <c r="A5" s="24"/>
      <c r="B5" s="24" t="s">
        <v>8</v>
      </c>
      <c r="C5" s="24" t="s">
        <v>140</v>
      </c>
      <c r="D5" s="24"/>
      <c r="E5" s="24"/>
      <c r="F5" s="24"/>
      <c r="G5" s="24"/>
      <c r="H5" s="25"/>
      <c r="I5" s="25"/>
      <c r="J5" s="25"/>
      <c r="K5" s="25"/>
      <c r="L5" s="25"/>
      <c r="M5" s="25"/>
      <c r="N5" s="25"/>
      <c r="O5" s="25"/>
      <c r="P5" s="25"/>
      <c r="Q5" s="25"/>
      <c r="R5" s="25"/>
      <c r="S5" s="25"/>
      <c r="T5" s="25"/>
      <c r="U5" s="25"/>
      <c r="V5" s="25"/>
      <c r="W5" s="25"/>
      <c r="X5" s="25"/>
      <c r="Y5" s="25"/>
      <c r="Z5" s="25"/>
      <c r="AA5" s="25"/>
    </row>
    <row r="6">
      <c r="A6" s="24"/>
      <c r="B6" s="24" t="s">
        <v>9</v>
      </c>
      <c r="C6" s="24" t="s">
        <v>141</v>
      </c>
      <c r="D6" s="24"/>
      <c r="E6" s="24"/>
      <c r="F6" s="24"/>
      <c r="G6" s="24"/>
      <c r="H6" s="25"/>
      <c r="I6" s="25"/>
      <c r="J6" s="25"/>
      <c r="K6" s="25"/>
      <c r="L6" s="25"/>
      <c r="M6" s="25"/>
      <c r="N6" s="25"/>
      <c r="O6" s="25"/>
      <c r="P6" s="25"/>
      <c r="Q6" s="25"/>
      <c r="R6" s="25"/>
      <c r="S6" s="25"/>
      <c r="T6" s="25"/>
      <c r="U6" s="25"/>
      <c r="V6" s="25"/>
      <c r="W6" s="25"/>
      <c r="X6" s="25"/>
      <c r="Y6" s="25"/>
      <c r="Z6" s="25"/>
      <c r="AA6" s="25"/>
    </row>
    <row r="7">
      <c r="A7" s="24" t="s">
        <v>10</v>
      </c>
      <c r="B7" s="25"/>
      <c r="C7" s="24" t="s">
        <v>142</v>
      </c>
      <c r="D7" s="24"/>
      <c r="E7" s="25"/>
      <c r="F7" s="25"/>
      <c r="G7" s="25"/>
      <c r="H7" s="25"/>
      <c r="I7" s="25"/>
      <c r="J7" s="25"/>
      <c r="K7" s="25"/>
      <c r="L7" s="25"/>
      <c r="M7" s="25"/>
      <c r="N7" s="25"/>
      <c r="O7" s="25"/>
      <c r="P7" s="25"/>
      <c r="Q7" s="25"/>
      <c r="R7" s="25"/>
      <c r="S7" s="25"/>
      <c r="T7" s="25"/>
      <c r="U7" s="25"/>
      <c r="V7" s="25"/>
      <c r="W7" s="25"/>
      <c r="X7" s="25"/>
      <c r="Y7" s="25"/>
      <c r="Z7" s="25"/>
      <c r="AA7" s="25"/>
    </row>
    <row r="8">
      <c r="A8" s="24"/>
      <c r="B8" s="24" t="s">
        <v>11</v>
      </c>
      <c r="C8" s="24" t="s">
        <v>146</v>
      </c>
      <c r="D8" s="24"/>
      <c r="E8" s="25"/>
      <c r="F8" s="25"/>
      <c r="G8" s="25"/>
      <c r="H8" s="25"/>
      <c r="I8" s="25"/>
      <c r="J8" s="25"/>
      <c r="K8" s="25"/>
      <c r="L8" s="25"/>
      <c r="M8" s="25"/>
      <c r="N8" s="25"/>
      <c r="O8" s="25"/>
      <c r="P8" s="25"/>
      <c r="Q8" s="25"/>
      <c r="R8" s="25"/>
      <c r="S8" s="25"/>
      <c r="T8" s="25"/>
      <c r="U8" s="25"/>
      <c r="V8" s="25"/>
      <c r="W8" s="25"/>
      <c r="X8" s="25"/>
      <c r="Y8" s="25"/>
      <c r="Z8" s="25"/>
      <c r="AA8" s="25"/>
    </row>
    <row r="9">
      <c r="A9" s="24"/>
      <c r="B9" s="24" t="s">
        <v>12</v>
      </c>
      <c r="C9" s="24" t="s">
        <v>149</v>
      </c>
      <c r="D9" s="27" t="s">
        <v>289</v>
      </c>
      <c r="E9" s="24"/>
      <c r="F9" s="24" t="s">
        <v>290</v>
      </c>
      <c r="G9" s="24" t="s">
        <v>291</v>
      </c>
      <c r="H9" s="25"/>
      <c r="I9" s="25"/>
      <c r="J9" s="25"/>
      <c r="K9" s="25"/>
      <c r="L9" s="25"/>
      <c r="M9" s="25"/>
      <c r="N9" s="25"/>
      <c r="O9" s="25"/>
      <c r="P9" s="25"/>
      <c r="Q9" s="25"/>
      <c r="R9" s="25"/>
      <c r="S9" s="25"/>
      <c r="T9" s="25"/>
      <c r="U9" s="25"/>
      <c r="V9" s="25"/>
      <c r="W9" s="25"/>
      <c r="X9" s="25"/>
      <c r="Y9" s="25"/>
      <c r="Z9" s="25"/>
      <c r="AA9" s="25"/>
    </row>
    <row r="10">
      <c r="A10" s="24"/>
      <c r="B10" s="24" t="s">
        <v>15</v>
      </c>
      <c r="C10" s="24" t="s">
        <v>152</v>
      </c>
      <c r="D10" s="24"/>
      <c r="E10" s="25"/>
      <c r="F10" s="25"/>
      <c r="G10" s="25"/>
      <c r="H10" s="25"/>
      <c r="I10" s="25"/>
      <c r="J10" s="25"/>
      <c r="K10" s="25"/>
      <c r="L10" s="25"/>
      <c r="M10" s="25"/>
      <c r="N10" s="25"/>
      <c r="O10" s="25"/>
      <c r="P10" s="25"/>
      <c r="Q10" s="25"/>
      <c r="R10" s="25"/>
      <c r="S10" s="25"/>
      <c r="T10" s="25"/>
      <c r="U10" s="25"/>
      <c r="V10" s="25"/>
      <c r="W10" s="25"/>
      <c r="X10" s="25"/>
      <c r="Y10" s="25"/>
      <c r="Z10" s="25"/>
      <c r="AA10" s="25"/>
    </row>
    <row r="11">
      <c r="A11" s="24"/>
      <c r="B11" s="24" t="s">
        <v>16</v>
      </c>
      <c r="C11" s="24" t="s">
        <v>153</v>
      </c>
      <c r="D11" s="27" t="s">
        <v>289</v>
      </c>
      <c r="E11" s="25"/>
      <c r="F11" s="24"/>
      <c r="G11" s="24"/>
      <c r="H11" s="25"/>
      <c r="I11" s="25"/>
      <c r="J11" s="25"/>
      <c r="K11" s="25"/>
      <c r="L11" s="25"/>
      <c r="M11" s="25"/>
      <c r="N11" s="25"/>
      <c r="O11" s="25"/>
      <c r="P11" s="25"/>
      <c r="Q11" s="25"/>
      <c r="R11" s="25"/>
      <c r="S11" s="25"/>
      <c r="T11" s="25"/>
      <c r="U11" s="25"/>
      <c r="V11" s="25"/>
      <c r="W11" s="25"/>
      <c r="X11" s="25"/>
      <c r="Y11" s="25"/>
      <c r="Z11" s="25"/>
      <c r="AA11" s="25"/>
    </row>
    <row r="12">
      <c r="A12" s="24" t="s">
        <v>18</v>
      </c>
      <c r="B12" s="25"/>
      <c r="C12" s="24" t="s">
        <v>155</v>
      </c>
      <c r="D12" s="26" t="s">
        <v>6</v>
      </c>
      <c r="E12" s="24" t="s">
        <v>292</v>
      </c>
      <c r="F12" s="24" t="s">
        <v>293</v>
      </c>
      <c r="H12" s="25"/>
      <c r="I12" s="25"/>
      <c r="J12" s="25"/>
      <c r="K12" s="25"/>
      <c r="L12" s="25"/>
      <c r="M12" s="25"/>
      <c r="N12" s="25"/>
      <c r="O12" s="25"/>
      <c r="P12" s="25"/>
      <c r="Q12" s="25"/>
      <c r="R12" s="25"/>
      <c r="S12" s="25"/>
      <c r="T12" s="25"/>
      <c r="U12" s="25"/>
      <c r="V12" s="25"/>
      <c r="W12" s="25"/>
      <c r="X12" s="25"/>
      <c r="Y12" s="25"/>
      <c r="Z12" s="25"/>
      <c r="AA12" s="25"/>
    </row>
    <row r="13">
      <c r="A13" s="24"/>
      <c r="B13" s="24" t="s">
        <v>19</v>
      </c>
      <c r="C13" s="24" t="s">
        <v>294</v>
      </c>
      <c r="D13" s="26" t="s">
        <v>6</v>
      </c>
      <c r="F13" s="24" t="s">
        <v>295</v>
      </c>
      <c r="G13" s="24" t="s">
        <v>296</v>
      </c>
      <c r="H13" s="25"/>
      <c r="I13" s="25"/>
      <c r="J13" s="25"/>
      <c r="K13" s="25"/>
      <c r="L13" s="25"/>
      <c r="M13" s="25"/>
      <c r="N13" s="25"/>
      <c r="O13" s="25"/>
      <c r="P13" s="25"/>
      <c r="Q13" s="25"/>
      <c r="R13" s="25"/>
      <c r="S13" s="25"/>
      <c r="T13" s="25"/>
      <c r="U13" s="25"/>
      <c r="V13" s="25"/>
      <c r="W13" s="25"/>
      <c r="X13" s="25"/>
      <c r="Y13" s="25"/>
      <c r="Z13" s="25"/>
      <c r="AA13" s="25"/>
    </row>
    <row r="14">
      <c r="A14" s="24"/>
      <c r="B14" s="24" t="s">
        <v>297</v>
      </c>
      <c r="C14" s="24" t="s">
        <v>298</v>
      </c>
      <c r="D14" s="26" t="s">
        <v>6</v>
      </c>
      <c r="E14" s="24"/>
      <c r="F14" s="24" t="s">
        <v>299</v>
      </c>
      <c r="G14" s="24" t="s">
        <v>300</v>
      </c>
      <c r="H14" s="25"/>
      <c r="I14" s="25"/>
      <c r="J14" s="25"/>
      <c r="K14" s="25"/>
      <c r="L14" s="25"/>
      <c r="M14" s="25"/>
      <c r="N14" s="25"/>
      <c r="O14" s="25"/>
      <c r="P14" s="25"/>
      <c r="Q14" s="25"/>
      <c r="R14" s="25"/>
      <c r="S14" s="25"/>
      <c r="T14" s="25"/>
      <c r="U14" s="25"/>
      <c r="V14" s="25"/>
      <c r="W14" s="25"/>
      <c r="X14" s="25"/>
      <c r="Y14" s="25"/>
      <c r="Z14" s="25"/>
      <c r="AA14" s="25"/>
    </row>
    <row r="15">
      <c r="A15" s="24"/>
      <c r="B15" s="24" t="s">
        <v>21</v>
      </c>
      <c r="C15" s="24" t="s">
        <v>301</v>
      </c>
      <c r="D15" s="26" t="s">
        <v>6</v>
      </c>
      <c r="E15" s="24"/>
      <c r="F15" s="24" t="s">
        <v>302</v>
      </c>
      <c r="G15" s="24"/>
      <c r="H15" s="25"/>
      <c r="I15" s="25"/>
      <c r="J15" s="25"/>
      <c r="K15" s="25"/>
      <c r="L15" s="25"/>
      <c r="M15" s="25"/>
      <c r="N15" s="25"/>
      <c r="O15" s="25"/>
      <c r="P15" s="25"/>
      <c r="Q15" s="25"/>
      <c r="R15" s="25"/>
      <c r="S15" s="25"/>
      <c r="T15" s="25"/>
      <c r="U15" s="25"/>
      <c r="V15" s="25"/>
      <c r="W15" s="25"/>
      <c r="X15" s="25"/>
      <c r="Y15" s="25"/>
      <c r="Z15" s="25"/>
      <c r="AA15" s="25"/>
    </row>
    <row r="16">
      <c r="A16" s="24"/>
      <c r="B16" s="24" t="s">
        <v>303</v>
      </c>
      <c r="C16" s="24" t="s">
        <v>304</v>
      </c>
      <c r="D16" s="26" t="s">
        <v>6</v>
      </c>
      <c r="E16" s="24"/>
      <c r="F16" s="24" t="s">
        <v>305</v>
      </c>
      <c r="G16" s="24"/>
      <c r="H16" s="25"/>
      <c r="I16" s="25"/>
      <c r="J16" s="25"/>
      <c r="K16" s="25"/>
      <c r="L16" s="25"/>
      <c r="M16" s="25"/>
      <c r="N16" s="25"/>
      <c r="O16" s="25"/>
      <c r="P16" s="25"/>
      <c r="Q16" s="25"/>
      <c r="R16" s="25"/>
      <c r="S16" s="25"/>
      <c r="T16" s="25"/>
      <c r="U16" s="25"/>
      <c r="V16" s="25"/>
      <c r="W16" s="25"/>
      <c r="X16" s="25"/>
      <c r="Y16" s="25"/>
      <c r="Z16" s="25"/>
      <c r="AA16" s="25"/>
    </row>
    <row r="17">
      <c r="A17" s="24"/>
      <c r="B17" s="24" t="s">
        <v>306</v>
      </c>
      <c r="C17" s="24" t="s">
        <v>307</v>
      </c>
      <c r="D17" s="26" t="s">
        <v>6</v>
      </c>
      <c r="E17" s="24"/>
      <c r="F17" s="24" t="s">
        <v>308</v>
      </c>
      <c r="G17" s="24"/>
      <c r="H17" s="25"/>
      <c r="I17" s="25"/>
      <c r="J17" s="25"/>
      <c r="K17" s="25"/>
      <c r="L17" s="25"/>
      <c r="M17" s="25"/>
      <c r="N17" s="25"/>
      <c r="O17" s="25"/>
      <c r="P17" s="25"/>
      <c r="Q17" s="25"/>
      <c r="R17" s="25"/>
      <c r="S17" s="25"/>
      <c r="T17" s="25"/>
      <c r="U17" s="25"/>
      <c r="V17" s="25"/>
      <c r="W17" s="25"/>
      <c r="X17" s="25"/>
      <c r="Y17" s="25"/>
      <c r="Z17" s="25"/>
      <c r="AA17" s="25"/>
    </row>
    <row r="18">
      <c r="A18" s="24"/>
      <c r="B18" s="24" t="s">
        <v>309</v>
      </c>
      <c r="C18" s="24" t="s">
        <v>310</v>
      </c>
      <c r="D18" s="24"/>
      <c r="E18" s="24"/>
      <c r="F18" s="24"/>
      <c r="G18" s="24"/>
      <c r="H18" s="25"/>
      <c r="I18" s="25"/>
      <c r="J18" s="25"/>
      <c r="K18" s="25"/>
      <c r="L18" s="25"/>
      <c r="M18" s="25"/>
      <c r="N18" s="25"/>
      <c r="O18" s="25"/>
      <c r="P18" s="25"/>
      <c r="Q18" s="25"/>
      <c r="R18" s="25"/>
      <c r="S18" s="25"/>
      <c r="T18" s="25"/>
      <c r="U18" s="25"/>
      <c r="V18" s="25"/>
      <c r="W18" s="25"/>
      <c r="X18" s="25"/>
      <c r="Y18" s="25"/>
      <c r="Z18" s="25"/>
      <c r="AA18" s="25"/>
    </row>
    <row r="19">
      <c r="A19" s="24" t="s">
        <v>23</v>
      </c>
      <c r="B19" s="25"/>
      <c r="C19" s="24" t="s">
        <v>156</v>
      </c>
      <c r="D19" s="24"/>
      <c r="E19" s="24"/>
      <c r="F19" s="24"/>
      <c r="G19" s="24"/>
      <c r="H19" s="25"/>
      <c r="I19" s="25"/>
      <c r="J19" s="25"/>
      <c r="K19" s="25"/>
      <c r="L19" s="25"/>
      <c r="M19" s="25"/>
      <c r="N19" s="25"/>
      <c r="O19" s="25"/>
      <c r="P19" s="25"/>
      <c r="Q19" s="25"/>
      <c r="R19" s="25"/>
      <c r="S19" s="25"/>
      <c r="T19" s="25"/>
      <c r="U19" s="25"/>
      <c r="V19" s="25"/>
      <c r="W19" s="25"/>
      <c r="X19" s="25"/>
      <c r="Y19" s="25"/>
      <c r="Z19" s="25"/>
      <c r="AA19" s="25"/>
    </row>
    <row r="20">
      <c r="A20" s="25"/>
      <c r="B20" s="24" t="s">
        <v>24</v>
      </c>
      <c r="C20" s="24" t="s">
        <v>159</v>
      </c>
      <c r="D20" s="24"/>
      <c r="E20" s="24"/>
      <c r="F20" s="24"/>
      <c r="G20" s="24"/>
      <c r="H20" s="25"/>
      <c r="I20" s="25"/>
      <c r="J20" s="25"/>
      <c r="K20" s="25"/>
      <c r="L20" s="25"/>
      <c r="M20" s="25"/>
      <c r="N20" s="25"/>
      <c r="O20" s="25"/>
      <c r="P20" s="25"/>
      <c r="Q20" s="25"/>
      <c r="R20" s="25"/>
      <c r="S20" s="25"/>
      <c r="T20" s="25"/>
      <c r="U20" s="25"/>
      <c r="V20" s="25"/>
      <c r="W20" s="25"/>
      <c r="X20" s="25"/>
      <c r="Y20" s="25"/>
      <c r="Z20" s="25"/>
      <c r="AA20" s="25"/>
    </row>
    <row r="21">
      <c r="A21" s="25"/>
      <c r="B21" s="24" t="s">
        <v>25</v>
      </c>
      <c r="C21" s="24" t="s">
        <v>161</v>
      </c>
      <c r="D21" s="24"/>
      <c r="E21" s="24"/>
      <c r="F21" s="24"/>
      <c r="G21" s="24"/>
      <c r="H21" s="25"/>
      <c r="I21" s="25"/>
      <c r="J21" s="25"/>
      <c r="K21" s="25"/>
      <c r="L21" s="25"/>
      <c r="M21" s="25"/>
      <c r="N21" s="25"/>
      <c r="O21" s="25"/>
      <c r="P21" s="25"/>
      <c r="Q21" s="25"/>
      <c r="R21" s="25"/>
      <c r="S21" s="25"/>
      <c r="T21" s="25"/>
      <c r="U21" s="25"/>
      <c r="V21" s="25"/>
      <c r="W21" s="25"/>
      <c r="X21" s="25"/>
      <c r="Y21" s="25"/>
      <c r="Z21" s="25"/>
      <c r="AA21" s="25"/>
    </row>
    <row r="22">
      <c r="A22" s="24"/>
      <c r="B22" s="24" t="s">
        <v>26</v>
      </c>
      <c r="C22" s="24" t="s">
        <v>163</v>
      </c>
      <c r="D22" s="24"/>
      <c r="E22" s="24"/>
      <c r="F22" s="24"/>
      <c r="G22" s="25"/>
      <c r="H22" s="25"/>
      <c r="I22" s="25"/>
      <c r="J22" s="25"/>
      <c r="K22" s="25"/>
      <c r="L22" s="25"/>
      <c r="M22" s="25"/>
      <c r="N22" s="25"/>
      <c r="O22" s="25"/>
      <c r="P22" s="25"/>
      <c r="Q22" s="25"/>
      <c r="R22" s="25"/>
      <c r="S22" s="25"/>
      <c r="T22" s="25"/>
      <c r="U22" s="25"/>
      <c r="V22" s="25"/>
      <c r="W22" s="25"/>
      <c r="X22" s="25"/>
      <c r="Y22" s="25"/>
      <c r="Z22" s="25"/>
      <c r="AA22" s="25"/>
    </row>
    <row r="23">
      <c r="A23" s="24"/>
      <c r="B23" s="24" t="s">
        <v>27</v>
      </c>
      <c r="C23" s="24" t="s">
        <v>164</v>
      </c>
      <c r="D23" s="24"/>
      <c r="E23" s="24"/>
      <c r="F23" s="24"/>
      <c r="G23" s="25"/>
      <c r="H23" s="25"/>
      <c r="I23" s="25"/>
      <c r="J23" s="25"/>
      <c r="K23" s="25"/>
      <c r="L23" s="25"/>
      <c r="M23" s="25"/>
      <c r="N23" s="25"/>
      <c r="O23" s="25"/>
      <c r="P23" s="25"/>
      <c r="Q23" s="25"/>
      <c r="R23" s="25"/>
      <c r="S23" s="25"/>
      <c r="T23" s="25"/>
      <c r="U23" s="25"/>
      <c r="V23" s="25"/>
      <c r="W23" s="25"/>
      <c r="X23" s="25"/>
      <c r="Y23" s="25"/>
      <c r="Z23" s="25"/>
      <c r="AA23" s="25"/>
    </row>
    <row r="24">
      <c r="A24" s="24"/>
      <c r="B24" s="24" t="s">
        <v>28</v>
      </c>
      <c r="C24" s="24" t="s">
        <v>165</v>
      </c>
      <c r="D24" s="24"/>
      <c r="E24" s="24"/>
      <c r="F24" s="24"/>
      <c r="G24" s="25"/>
      <c r="H24" s="25"/>
      <c r="I24" s="25"/>
      <c r="J24" s="25"/>
      <c r="K24" s="25"/>
      <c r="L24" s="25"/>
      <c r="M24" s="25"/>
      <c r="N24" s="25"/>
      <c r="O24" s="25"/>
      <c r="P24" s="25"/>
      <c r="Q24" s="25"/>
      <c r="R24" s="25"/>
      <c r="S24" s="25"/>
      <c r="T24" s="25"/>
      <c r="U24" s="25"/>
      <c r="V24" s="25"/>
      <c r="W24" s="25"/>
      <c r="X24" s="25"/>
      <c r="Y24" s="25"/>
      <c r="Z24" s="25"/>
      <c r="AA24" s="25"/>
    </row>
    <row r="25">
      <c r="A25" s="24"/>
      <c r="B25" s="24" t="s">
        <v>29</v>
      </c>
      <c r="C25" s="24" t="s">
        <v>166</v>
      </c>
      <c r="D25" s="24"/>
      <c r="E25" s="24"/>
      <c r="F25" s="24"/>
      <c r="G25" s="24"/>
      <c r="H25" s="25"/>
      <c r="I25" s="25"/>
      <c r="J25" s="25"/>
      <c r="K25" s="25"/>
      <c r="L25" s="25"/>
      <c r="M25" s="25"/>
      <c r="N25" s="25"/>
      <c r="O25" s="25"/>
      <c r="P25" s="25"/>
      <c r="Q25" s="25"/>
      <c r="R25" s="25"/>
      <c r="S25" s="25"/>
      <c r="T25" s="25"/>
      <c r="U25" s="25"/>
      <c r="V25" s="25"/>
      <c r="W25" s="25"/>
      <c r="X25" s="25"/>
      <c r="Y25" s="25"/>
      <c r="Z25" s="25"/>
      <c r="AA25" s="25"/>
    </row>
    <row r="26">
      <c r="A26" s="24"/>
      <c r="B26" s="24" t="s">
        <v>30</v>
      </c>
      <c r="C26" s="24" t="s">
        <v>168</v>
      </c>
      <c r="D26" s="24"/>
      <c r="E26" s="24"/>
      <c r="F26" s="24"/>
      <c r="G26" s="25"/>
      <c r="H26" s="25"/>
      <c r="I26" s="25"/>
      <c r="J26" s="25"/>
      <c r="K26" s="25"/>
      <c r="L26" s="25"/>
      <c r="M26" s="25"/>
      <c r="N26" s="25"/>
      <c r="O26" s="25"/>
      <c r="P26" s="25"/>
      <c r="Q26" s="25"/>
      <c r="R26" s="25"/>
      <c r="S26" s="25"/>
      <c r="T26" s="25"/>
      <c r="U26" s="25"/>
      <c r="V26" s="25"/>
      <c r="W26" s="25"/>
      <c r="X26" s="25"/>
      <c r="Y26" s="25"/>
      <c r="Z26" s="25"/>
      <c r="AA26" s="25"/>
    </row>
    <row r="27">
      <c r="A27" s="24"/>
      <c r="B27" s="24" t="s">
        <v>31</v>
      </c>
      <c r="C27" s="24" t="s">
        <v>169</v>
      </c>
      <c r="D27" s="24"/>
      <c r="E27" s="24"/>
      <c r="F27" s="24"/>
      <c r="G27" s="24"/>
      <c r="H27" s="25"/>
      <c r="I27" s="25"/>
      <c r="J27" s="25"/>
      <c r="K27" s="25"/>
      <c r="L27" s="25"/>
      <c r="M27" s="25"/>
      <c r="N27" s="25"/>
      <c r="O27" s="25"/>
      <c r="P27" s="25"/>
      <c r="Q27" s="25"/>
      <c r="R27" s="25"/>
      <c r="S27" s="25"/>
      <c r="T27" s="25"/>
      <c r="U27" s="25"/>
      <c r="V27" s="25"/>
      <c r="W27" s="25"/>
      <c r="X27" s="25"/>
      <c r="Y27" s="25"/>
      <c r="Z27" s="25"/>
      <c r="AA27" s="25"/>
    </row>
    <row r="28">
      <c r="A28" s="24"/>
      <c r="B28" s="24" t="s">
        <v>33</v>
      </c>
      <c r="C28" s="24" t="s">
        <v>171</v>
      </c>
      <c r="D28" s="24"/>
      <c r="E28" s="24"/>
      <c r="F28" s="24"/>
      <c r="G28" s="25"/>
      <c r="H28" s="25"/>
      <c r="I28" s="25"/>
      <c r="J28" s="25"/>
      <c r="K28" s="25"/>
      <c r="L28" s="25"/>
      <c r="M28" s="25"/>
      <c r="N28" s="25"/>
      <c r="O28" s="25"/>
      <c r="P28" s="25"/>
      <c r="Q28" s="25"/>
      <c r="R28" s="25"/>
      <c r="S28" s="25"/>
      <c r="T28" s="25"/>
      <c r="U28" s="25"/>
      <c r="V28" s="25"/>
      <c r="W28" s="25"/>
      <c r="X28" s="25"/>
      <c r="Y28" s="25"/>
      <c r="Z28" s="25"/>
      <c r="AA28" s="25"/>
    </row>
    <row r="29">
      <c r="A29" s="24"/>
      <c r="B29" s="24" t="s">
        <v>34</v>
      </c>
      <c r="C29" s="24" t="s">
        <v>172</v>
      </c>
      <c r="D29" s="25"/>
      <c r="E29" s="25"/>
      <c r="F29" s="25"/>
      <c r="G29" s="25"/>
      <c r="H29" s="25"/>
      <c r="I29" s="25"/>
      <c r="J29" s="25"/>
      <c r="K29" s="25"/>
      <c r="L29" s="25"/>
      <c r="M29" s="25"/>
      <c r="N29" s="25"/>
      <c r="O29" s="25"/>
      <c r="P29" s="25"/>
      <c r="Q29" s="25"/>
      <c r="R29" s="25"/>
      <c r="S29" s="25"/>
      <c r="T29" s="25"/>
      <c r="U29" s="25"/>
      <c r="V29" s="25"/>
      <c r="W29" s="25"/>
      <c r="X29" s="25"/>
      <c r="Y29" s="25"/>
      <c r="Z29" s="25"/>
      <c r="AA29" s="25"/>
    </row>
    <row r="30">
      <c r="A30" s="24" t="s">
        <v>35</v>
      </c>
      <c r="B30" s="25"/>
      <c r="C30" s="24" t="s">
        <v>311</v>
      </c>
      <c r="D30" s="24"/>
      <c r="E30" s="24"/>
      <c r="F30" s="24"/>
      <c r="G30" s="31"/>
      <c r="H30" s="25"/>
      <c r="I30" s="25"/>
      <c r="J30" s="25"/>
      <c r="K30" s="25"/>
      <c r="L30" s="25"/>
      <c r="M30" s="25"/>
      <c r="N30" s="25"/>
      <c r="O30" s="25"/>
      <c r="P30" s="25"/>
      <c r="Q30" s="25"/>
      <c r="R30" s="25"/>
      <c r="S30" s="25"/>
      <c r="T30" s="25"/>
      <c r="U30" s="25"/>
      <c r="V30" s="25"/>
      <c r="W30" s="25"/>
      <c r="X30" s="25"/>
      <c r="Y30" s="25"/>
      <c r="Z30" s="25"/>
      <c r="AA30" s="25"/>
    </row>
    <row r="31">
      <c r="A31" s="24"/>
      <c r="B31" s="24" t="s">
        <v>36</v>
      </c>
      <c r="C31" s="24" t="s">
        <v>312</v>
      </c>
      <c r="D31" s="24"/>
      <c r="E31" s="25"/>
      <c r="F31" s="24"/>
      <c r="G31" s="25"/>
      <c r="H31" s="25"/>
      <c r="I31" s="25"/>
      <c r="J31" s="25"/>
      <c r="K31" s="25"/>
      <c r="L31" s="25"/>
      <c r="M31" s="25"/>
      <c r="N31" s="25"/>
      <c r="O31" s="25"/>
      <c r="P31" s="25"/>
      <c r="Q31" s="25"/>
      <c r="R31" s="25"/>
      <c r="S31" s="25"/>
      <c r="T31" s="25"/>
      <c r="U31" s="25"/>
      <c r="V31" s="25"/>
      <c r="W31" s="25"/>
      <c r="X31" s="25"/>
      <c r="Y31" s="25"/>
      <c r="Z31" s="25"/>
      <c r="AA31" s="25"/>
    </row>
    <row r="32">
      <c r="A32" s="24"/>
      <c r="B32" s="24" t="s">
        <v>37</v>
      </c>
      <c r="C32" s="24" t="s">
        <v>313</v>
      </c>
      <c r="D32" s="24"/>
      <c r="E32" s="25"/>
      <c r="F32" s="24"/>
      <c r="G32" s="24"/>
      <c r="H32" s="25"/>
      <c r="I32" s="25"/>
      <c r="J32" s="25"/>
      <c r="K32" s="25"/>
      <c r="L32" s="25"/>
      <c r="M32" s="25"/>
      <c r="N32" s="25"/>
      <c r="O32" s="25"/>
      <c r="P32" s="25"/>
      <c r="Q32" s="25"/>
      <c r="R32" s="25"/>
      <c r="S32" s="25"/>
      <c r="T32" s="25"/>
      <c r="U32" s="25"/>
      <c r="V32" s="25"/>
      <c r="W32" s="25"/>
      <c r="X32" s="25"/>
      <c r="Y32" s="25"/>
      <c r="Z32" s="25"/>
      <c r="AA32" s="25"/>
    </row>
    <row r="33">
      <c r="A33" s="24"/>
      <c r="B33" s="24" t="s">
        <v>38</v>
      </c>
      <c r="C33" s="24" t="s">
        <v>314</v>
      </c>
      <c r="D33" s="24"/>
      <c r="E33" s="25"/>
      <c r="F33" s="24"/>
      <c r="G33" s="25"/>
      <c r="H33" s="25"/>
      <c r="I33" s="25"/>
      <c r="J33" s="25"/>
      <c r="K33" s="25"/>
      <c r="L33" s="25"/>
      <c r="M33" s="25"/>
      <c r="N33" s="25"/>
      <c r="O33" s="25"/>
      <c r="P33" s="25"/>
      <c r="Q33" s="25"/>
      <c r="R33" s="25"/>
      <c r="S33" s="25"/>
      <c r="T33" s="25"/>
      <c r="U33" s="25"/>
      <c r="V33" s="25"/>
      <c r="W33" s="25"/>
      <c r="X33" s="25"/>
      <c r="Y33" s="25"/>
      <c r="Z33" s="25"/>
      <c r="AA33" s="25"/>
    </row>
    <row r="34">
      <c r="A34" s="24"/>
      <c r="B34" s="24" t="s">
        <v>39</v>
      </c>
      <c r="C34" s="24" t="s">
        <v>315</v>
      </c>
      <c r="D34" s="24"/>
      <c r="E34" s="25"/>
      <c r="F34" s="24"/>
      <c r="G34" s="25"/>
      <c r="H34" s="25"/>
      <c r="I34" s="25"/>
      <c r="J34" s="25"/>
      <c r="K34" s="25"/>
      <c r="L34" s="25"/>
      <c r="M34" s="25"/>
      <c r="N34" s="25"/>
      <c r="O34" s="25"/>
      <c r="P34" s="25"/>
      <c r="Q34" s="25"/>
      <c r="R34" s="25"/>
      <c r="S34" s="25"/>
      <c r="T34" s="25"/>
      <c r="U34" s="25"/>
      <c r="V34" s="25"/>
      <c r="W34" s="25"/>
      <c r="X34" s="25"/>
      <c r="Y34" s="25"/>
      <c r="Z34" s="25"/>
      <c r="AA34" s="25"/>
    </row>
    <row r="35">
      <c r="A35" s="24"/>
      <c r="B35" s="24" t="s">
        <v>316</v>
      </c>
      <c r="C35" s="24" t="s">
        <v>317</v>
      </c>
      <c r="D35" s="24"/>
      <c r="E35" s="25"/>
      <c r="F35" s="24"/>
      <c r="G35" s="25"/>
      <c r="H35" s="25"/>
      <c r="I35" s="25"/>
      <c r="J35" s="25"/>
      <c r="K35" s="25"/>
      <c r="L35" s="25"/>
      <c r="M35" s="25"/>
      <c r="N35" s="25"/>
      <c r="O35" s="25"/>
      <c r="P35" s="25"/>
      <c r="Q35" s="25"/>
      <c r="R35" s="25"/>
      <c r="S35" s="25"/>
      <c r="T35" s="25"/>
      <c r="U35" s="25"/>
      <c r="V35" s="25"/>
      <c r="W35" s="25"/>
      <c r="X35" s="25"/>
      <c r="Y35" s="25"/>
      <c r="Z35" s="25"/>
      <c r="AA35" s="25"/>
    </row>
    <row r="36">
      <c r="A36" s="24" t="s">
        <v>40</v>
      </c>
      <c r="B36" s="25"/>
      <c r="C36" s="24" t="s">
        <v>173</v>
      </c>
      <c r="D36" s="25"/>
      <c r="E36" s="25"/>
      <c r="F36" s="25"/>
      <c r="G36" s="25"/>
      <c r="H36" s="25"/>
      <c r="I36" s="25"/>
      <c r="J36" s="25"/>
      <c r="K36" s="25"/>
      <c r="L36" s="25"/>
      <c r="M36" s="25"/>
      <c r="N36" s="25"/>
      <c r="O36" s="25"/>
      <c r="P36" s="25"/>
      <c r="Q36" s="25"/>
      <c r="R36" s="25"/>
      <c r="S36" s="25"/>
      <c r="T36" s="25"/>
      <c r="U36" s="25"/>
      <c r="V36" s="25"/>
      <c r="W36" s="25"/>
      <c r="X36" s="25"/>
      <c r="Y36" s="25"/>
      <c r="Z36" s="25"/>
      <c r="AA36" s="25"/>
    </row>
    <row r="37">
      <c r="A37" s="24"/>
      <c r="B37" s="24" t="s">
        <v>41</v>
      </c>
      <c r="C37" s="24" t="s">
        <v>174</v>
      </c>
      <c r="D37" s="25"/>
      <c r="E37" s="25"/>
      <c r="F37" s="25"/>
      <c r="G37" s="25"/>
      <c r="H37" s="25"/>
      <c r="I37" s="25"/>
      <c r="J37" s="25"/>
      <c r="K37" s="25"/>
      <c r="L37" s="25"/>
      <c r="M37" s="25"/>
      <c r="N37" s="25"/>
      <c r="O37" s="25"/>
      <c r="P37" s="25"/>
      <c r="Q37" s="25"/>
      <c r="R37" s="25"/>
      <c r="S37" s="25"/>
      <c r="T37" s="25"/>
      <c r="U37" s="25"/>
      <c r="V37" s="25"/>
      <c r="W37" s="25"/>
      <c r="X37" s="25"/>
      <c r="Y37" s="25"/>
      <c r="Z37" s="25"/>
      <c r="AA37" s="25"/>
    </row>
    <row r="38">
      <c r="A38" s="24"/>
      <c r="B38" s="24" t="s">
        <v>42</v>
      </c>
      <c r="C38" s="24" t="s">
        <v>318</v>
      </c>
      <c r="D38" s="25"/>
      <c r="E38" s="25"/>
      <c r="F38" s="25"/>
      <c r="G38" s="25"/>
      <c r="H38" s="25"/>
      <c r="I38" s="25"/>
      <c r="J38" s="25"/>
      <c r="K38" s="25"/>
      <c r="L38" s="25"/>
      <c r="M38" s="25"/>
      <c r="N38" s="25"/>
      <c r="O38" s="25"/>
      <c r="P38" s="25"/>
      <c r="Q38" s="25"/>
      <c r="R38" s="25"/>
      <c r="S38" s="25"/>
      <c r="T38" s="25"/>
      <c r="U38" s="25"/>
      <c r="V38" s="25"/>
      <c r="W38" s="25"/>
      <c r="X38" s="25"/>
      <c r="Y38" s="25"/>
      <c r="Z38" s="25"/>
      <c r="AA38" s="25"/>
    </row>
    <row r="39">
      <c r="A39" s="24"/>
      <c r="B39" s="24" t="s">
        <v>43</v>
      </c>
      <c r="C39" s="24" t="s">
        <v>180</v>
      </c>
      <c r="D39" s="25"/>
      <c r="E39" s="25"/>
      <c r="F39" s="25"/>
      <c r="G39" s="25"/>
      <c r="H39" s="25"/>
      <c r="I39" s="25"/>
      <c r="J39" s="25"/>
      <c r="K39" s="25"/>
      <c r="L39" s="25"/>
      <c r="M39" s="25"/>
      <c r="N39" s="25"/>
      <c r="O39" s="25"/>
      <c r="P39" s="25"/>
      <c r="Q39" s="25"/>
      <c r="R39" s="25"/>
      <c r="S39" s="25"/>
      <c r="T39" s="25"/>
      <c r="U39" s="25"/>
      <c r="V39" s="25"/>
      <c r="W39" s="25"/>
      <c r="X39" s="25"/>
      <c r="Y39" s="25"/>
      <c r="Z39" s="25"/>
      <c r="AA39" s="25"/>
    </row>
    <row r="40">
      <c r="A40" s="24"/>
      <c r="B40" s="24" t="s">
        <v>44</v>
      </c>
      <c r="C40" s="24" t="s">
        <v>181</v>
      </c>
      <c r="D40" s="25"/>
      <c r="E40" s="25"/>
      <c r="F40" s="25"/>
      <c r="G40" s="25"/>
      <c r="H40" s="25"/>
      <c r="I40" s="25"/>
      <c r="J40" s="25"/>
      <c r="K40" s="25"/>
      <c r="L40" s="25"/>
      <c r="M40" s="25"/>
      <c r="N40" s="25"/>
      <c r="O40" s="25"/>
      <c r="P40" s="25"/>
      <c r="Q40" s="25"/>
      <c r="R40" s="25"/>
      <c r="S40" s="25"/>
      <c r="T40" s="25"/>
      <c r="U40" s="25"/>
      <c r="V40" s="25"/>
      <c r="W40" s="25"/>
      <c r="X40" s="25"/>
      <c r="Y40" s="25"/>
      <c r="Z40" s="25"/>
      <c r="AA40" s="25"/>
    </row>
    <row r="41">
      <c r="A41" s="24"/>
      <c r="B41" s="24" t="s">
        <v>45</v>
      </c>
      <c r="C41" s="24" t="s">
        <v>184</v>
      </c>
      <c r="D41" s="25"/>
      <c r="E41" s="25"/>
      <c r="F41" s="25"/>
      <c r="G41" s="25"/>
      <c r="H41" s="25"/>
      <c r="I41" s="25"/>
      <c r="J41" s="25"/>
      <c r="K41" s="25"/>
      <c r="L41" s="25"/>
      <c r="M41" s="25"/>
      <c r="N41" s="25"/>
      <c r="O41" s="25"/>
      <c r="P41" s="25"/>
      <c r="Q41" s="25"/>
      <c r="R41" s="25"/>
      <c r="S41" s="25"/>
      <c r="T41" s="25"/>
      <c r="U41" s="25"/>
      <c r="V41" s="25"/>
      <c r="W41" s="25"/>
      <c r="X41" s="25"/>
      <c r="Y41" s="25"/>
      <c r="Z41" s="25"/>
      <c r="AA41" s="25"/>
    </row>
    <row r="42">
      <c r="A42" s="24"/>
      <c r="B42" s="24" t="s">
        <v>46</v>
      </c>
      <c r="C42" s="24" t="s">
        <v>185</v>
      </c>
      <c r="D42" s="25"/>
      <c r="E42" s="25"/>
      <c r="F42" s="25"/>
      <c r="G42" s="25"/>
      <c r="H42" s="25"/>
      <c r="I42" s="25"/>
      <c r="J42" s="25"/>
      <c r="K42" s="25"/>
      <c r="L42" s="25"/>
      <c r="M42" s="25"/>
      <c r="N42" s="25"/>
      <c r="O42" s="25"/>
      <c r="P42" s="25"/>
      <c r="Q42" s="25"/>
      <c r="R42" s="25"/>
      <c r="S42" s="25"/>
      <c r="T42" s="25"/>
      <c r="U42" s="25"/>
      <c r="V42" s="25"/>
      <c r="W42" s="25"/>
      <c r="X42" s="25"/>
      <c r="Y42" s="25"/>
      <c r="Z42" s="25"/>
      <c r="AA42" s="25"/>
    </row>
    <row r="43">
      <c r="A43" s="24" t="s">
        <v>47</v>
      </c>
      <c r="B43" s="25"/>
      <c r="C43" s="24" t="s">
        <v>186</v>
      </c>
      <c r="D43" s="25"/>
      <c r="E43" s="25"/>
      <c r="F43" s="25"/>
      <c r="G43" s="25"/>
      <c r="H43" s="25"/>
      <c r="I43" s="25"/>
      <c r="J43" s="25"/>
      <c r="K43" s="25"/>
      <c r="L43" s="25"/>
      <c r="M43" s="25"/>
      <c r="N43" s="25"/>
      <c r="O43" s="25"/>
      <c r="P43" s="25"/>
      <c r="Q43" s="25"/>
      <c r="R43" s="25"/>
      <c r="S43" s="25"/>
      <c r="T43" s="25"/>
      <c r="U43" s="25"/>
      <c r="V43" s="25"/>
      <c r="W43" s="25"/>
      <c r="X43" s="25"/>
      <c r="Y43" s="25"/>
      <c r="Z43" s="25"/>
      <c r="AA43" s="25"/>
    </row>
    <row r="44">
      <c r="B44" s="24" t="s">
        <v>48</v>
      </c>
      <c r="C44" s="24" t="s">
        <v>319</v>
      </c>
      <c r="D44" s="25"/>
      <c r="E44" s="25"/>
      <c r="F44" s="25"/>
      <c r="G44" s="25"/>
      <c r="H44" s="25"/>
      <c r="I44" s="25"/>
      <c r="J44" s="25"/>
      <c r="K44" s="25"/>
      <c r="L44" s="25"/>
      <c r="M44" s="25"/>
      <c r="N44" s="25"/>
      <c r="O44" s="25"/>
      <c r="P44" s="25"/>
      <c r="Q44" s="25"/>
      <c r="R44" s="25"/>
      <c r="S44" s="25"/>
      <c r="T44" s="25"/>
      <c r="U44" s="25"/>
      <c r="V44" s="25"/>
      <c r="W44" s="25"/>
      <c r="X44" s="25"/>
      <c r="Y44" s="25"/>
      <c r="Z44" s="25"/>
      <c r="AA44" s="25"/>
    </row>
    <row r="45">
      <c r="B45" s="24" t="s">
        <v>49</v>
      </c>
      <c r="C45" s="24" t="s">
        <v>320</v>
      </c>
      <c r="D45" s="26" t="s">
        <v>6</v>
      </c>
      <c r="E45" s="25"/>
      <c r="F45" s="24" t="s">
        <v>321</v>
      </c>
      <c r="G45" s="24" t="s">
        <v>322</v>
      </c>
      <c r="H45" s="25"/>
      <c r="I45" s="25"/>
      <c r="J45" s="25"/>
      <c r="K45" s="25"/>
      <c r="L45" s="25"/>
      <c r="M45" s="25"/>
      <c r="N45" s="25"/>
      <c r="O45" s="25"/>
      <c r="P45" s="25"/>
      <c r="Q45" s="25"/>
      <c r="R45" s="25"/>
      <c r="S45" s="25"/>
      <c r="T45" s="25"/>
      <c r="U45" s="25"/>
      <c r="V45" s="25"/>
      <c r="W45" s="25"/>
      <c r="X45" s="25"/>
      <c r="Y45" s="25"/>
      <c r="Z45" s="25"/>
      <c r="AA45" s="25"/>
    </row>
    <row r="46">
      <c r="B46" s="24" t="s">
        <v>50</v>
      </c>
      <c r="C46" s="24" t="s">
        <v>323</v>
      </c>
      <c r="D46" s="25"/>
      <c r="E46" s="25"/>
      <c r="F46" s="25"/>
      <c r="G46" s="25"/>
      <c r="H46" s="25"/>
      <c r="I46" s="25"/>
      <c r="J46" s="25"/>
      <c r="K46" s="25"/>
      <c r="L46" s="25"/>
      <c r="M46" s="25"/>
      <c r="N46" s="25"/>
      <c r="O46" s="25"/>
      <c r="P46" s="25"/>
      <c r="Q46" s="25"/>
      <c r="R46" s="25"/>
      <c r="S46" s="25"/>
      <c r="T46" s="25"/>
      <c r="U46" s="25"/>
      <c r="V46" s="25"/>
      <c r="W46" s="25"/>
      <c r="X46" s="25"/>
      <c r="Y46" s="25"/>
      <c r="Z46" s="25"/>
      <c r="AA46" s="25"/>
    </row>
    <row r="47">
      <c r="B47" s="24" t="s">
        <v>51</v>
      </c>
      <c r="C47" s="24" t="s">
        <v>324</v>
      </c>
      <c r="D47" s="25"/>
      <c r="E47" s="25"/>
      <c r="F47" s="25"/>
      <c r="G47" s="25"/>
      <c r="H47" s="25"/>
      <c r="I47" s="25"/>
      <c r="J47" s="25"/>
      <c r="K47" s="25"/>
      <c r="L47" s="25"/>
      <c r="M47" s="25"/>
      <c r="N47" s="25"/>
      <c r="O47" s="25"/>
      <c r="P47" s="25"/>
      <c r="Q47" s="25"/>
      <c r="R47" s="25"/>
      <c r="S47" s="25"/>
      <c r="T47" s="25"/>
      <c r="U47" s="25"/>
      <c r="V47" s="25"/>
      <c r="W47" s="25"/>
      <c r="X47" s="25"/>
      <c r="Y47" s="25"/>
      <c r="Z47" s="25"/>
      <c r="AA47" s="25"/>
    </row>
    <row r="48">
      <c r="B48" s="24" t="s">
        <v>52</v>
      </c>
      <c r="C48" s="24" t="s">
        <v>195</v>
      </c>
      <c r="D48" s="25"/>
      <c r="E48" s="25"/>
      <c r="F48" s="25"/>
      <c r="G48" s="25"/>
      <c r="H48" s="25"/>
      <c r="I48" s="25"/>
      <c r="J48" s="25"/>
      <c r="K48" s="25"/>
      <c r="L48" s="25"/>
      <c r="M48" s="25"/>
      <c r="N48" s="25"/>
      <c r="O48" s="25"/>
      <c r="P48" s="25"/>
      <c r="Q48" s="25"/>
      <c r="R48" s="25"/>
      <c r="S48" s="25"/>
      <c r="T48" s="25"/>
      <c r="U48" s="25"/>
      <c r="V48" s="25"/>
      <c r="W48" s="25"/>
      <c r="X48" s="25"/>
      <c r="Y48" s="25"/>
      <c r="Z48" s="25"/>
      <c r="AA48" s="25"/>
    </row>
    <row r="49" ht="82.5" customHeight="1">
      <c r="A49" s="24" t="s">
        <v>56</v>
      </c>
      <c r="B49" s="25"/>
      <c r="C49" s="24" t="s">
        <v>204</v>
      </c>
      <c r="D49" s="24"/>
      <c r="E49" s="24"/>
      <c r="F49" s="24"/>
      <c r="G49" s="24"/>
      <c r="H49" s="25"/>
      <c r="I49" s="25"/>
      <c r="J49" s="25"/>
      <c r="K49" s="25"/>
      <c r="L49" s="25"/>
      <c r="M49" s="25"/>
      <c r="N49" s="25"/>
      <c r="O49" s="25"/>
      <c r="P49" s="25"/>
      <c r="Q49" s="25"/>
      <c r="R49" s="25"/>
      <c r="S49" s="25"/>
      <c r="T49" s="25"/>
      <c r="U49" s="25"/>
      <c r="V49" s="25"/>
      <c r="W49" s="25"/>
      <c r="X49" s="25"/>
      <c r="Y49" s="25"/>
      <c r="Z49" s="25"/>
      <c r="AA49" s="25"/>
    </row>
    <row r="50" ht="82.5" customHeight="1">
      <c r="A50" s="24"/>
      <c r="B50" s="24" t="s">
        <v>57</v>
      </c>
      <c r="C50" s="29" t="s">
        <v>208</v>
      </c>
      <c r="D50" s="24"/>
      <c r="E50" s="24"/>
      <c r="F50" s="24"/>
      <c r="G50" s="24"/>
      <c r="H50" s="25"/>
      <c r="I50" s="25"/>
      <c r="J50" s="25"/>
      <c r="K50" s="25"/>
      <c r="L50" s="25"/>
      <c r="M50" s="25"/>
      <c r="N50" s="25"/>
      <c r="O50" s="25"/>
      <c r="P50" s="25"/>
      <c r="Q50" s="25"/>
      <c r="R50" s="25"/>
      <c r="S50" s="25"/>
      <c r="T50" s="25"/>
      <c r="U50" s="25"/>
      <c r="V50" s="25"/>
      <c r="W50" s="25"/>
      <c r="X50" s="25"/>
      <c r="Y50" s="25"/>
      <c r="Z50" s="25"/>
      <c r="AA50" s="25"/>
    </row>
    <row r="51" ht="82.5" customHeight="1">
      <c r="A51" s="24" t="s">
        <v>325</v>
      </c>
      <c r="B51" s="24" t="s">
        <v>58</v>
      </c>
      <c r="C51" s="24" t="s">
        <v>210</v>
      </c>
      <c r="D51" s="24"/>
      <c r="E51" s="24"/>
      <c r="F51" s="24"/>
      <c r="G51" s="24"/>
      <c r="H51" s="25"/>
      <c r="I51" s="25"/>
      <c r="J51" s="25"/>
      <c r="K51" s="25"/>
      <c r="L51" s="25"/>
      <c r="M51" s="25"/>
      <c r="N51" s="25"/>
      <c r="O51" s="25"/>
      <c r="P51" s="25"/>
      <c r="Q51" s="25"/>
      <c r="R51" s="25"/>
      <c r="S51" s="25"/>
      <c r="T51" s="25"/>
      <c r="U51" s="25"/>
      <c r="V51" s="25"/>
      <c r="W51" s="25"/>
      <c r="X51" s="25"/>
      <c r="Y51" s="25"/>
      <c r="Z51" s="25"/>
      <c r="AA51" s="25"/>
    </row>
    <row r="52" ht="82.5" customHeight="1">
      <c r="A52" s="24"/>
      <c r="B52" s="24" t="s">
        <v>59</v>
      </c>
      <c r="C52" s="24" t="s">
        <v>211</v>
      </c>
      <c r="D52" s="24"/>
      <c r="E52" s="24"/>
      <c r="F52" s="24"/>
      <c r="G52" s="24"/>
      <c r="H52" s="25"/>
      <c r="I52" s="25"/>
      <c r="J52" s="25"/>
      <c r="K52" s="25"/>
      <c r="L52" s="25"/>
      <c r="M52" s="25"/>
      <c r="N52" s="25"/>
      <c r="O52" s="25"/>
      <c r="P52" s="25"/>
      <c r="Q52" s="25"/>
      <c r="R52" s="25"/>
      <c r="S52" s="25"/>
      <c r="T52" s="25"/>
      <c r="U52" s="25"/>
      <c r="V52" s="25"/>
      <c r="W52" s="25"/>
      <c r="X52" s="25"/>
      <c r="Y52" s="25"/>
      <c r="Z52" s="25"/>
      <c r="AA52" s="25"/>
    </row>
    <row r="53" ht="82.5" customHeight="1">
      <c r="A53" s="24"/>
      <c r="B53" s="24" t="s">
        <v>60</v>
      </c>
      <c r="C53" s="24" t="s">
        <v>213</v>
      </c>
      <c r="D53" s="24"/>
      <c r="E53" s="24"/>
      <c r="F53" s="24"/>
      <c r="G53" s="24"/>
      <c r="H53" s="25"/>
      <c r="I53" s="25"/>
      <c r="J53" s="25"/>
      <c r="K53" s="25"/>
      <c r="L53" s="25"/>
      <c r="M53" s="25"/>
      <c r="N53" s="25"/>
      <c r="O53" s="25"/>
      <c r="P53" s="25"/>
      <c r="Q53" s="25"/>
      <c r="R53" s="25"/>
      <c r="S53" s="25"/>
      <c r="T53" s="25"/>
      <c r="U53" s="25"/>
      <c r="V53" s="25"/>
      <c r="W53" s="25"/>
      <c r="X53" s="25"/>
      <c r="Y53" s="25"/>
      <c r="Z53" s="25"/>
      <c r="AA53" s="25"/>
    </row>
    <row r="54" ht="82.5" customHeight="1">
      <c r="A54" s="25"/>
      <c r="B54" s="24" t="s">
        <v>62</v>
      </c>
      <c r="C54" s="24" t="s">
        <v>214</v>
      </c>
      <c r="D54" s="24"/>
      <c r="E54" s="24"/>
      <c r="F54" s="24"/>
      <c r="G54" s="24"/>
      <c r="H54" s="25"/>
      <c r="I54" s="25"/>
      <c r="J54" s="25"/>
      <c r="K54" s="25"/>
      <c r="L54" s="25"/>
      <c r="M54" s="25"/>
      <c r="N54" s="25"/>
      <c r="O54" s="25"/>
      <c r="P54" s="25"/>
      <c r="Q54" s="25"/>
      <c r="R54" s="25"/>
      <c r="S54" s="25"/>
      <c r="T54" s="25"/>
      <c r="U54" s="25"/>
      <c r="V54" s="25"/>
      <c r="W54" s="25"/>
      <c r="X54" s="25"/>
      <c r="Y54" s="25"/>
      <c r="Z54" s="25"/>
      <c r="AA54" s="25"/>
    </row>
    <row r="55" ht="82.5" customHeight="1">
      <c r="A55" s="24" t="s">
        <v>63</v>
      </c>
      <c r="B55" s="25"/>
      <c r="C55" s="24" t="s">
        <v>216</v>
      </c>
      <c r="D55" s="24"/>
      <c r="E55" s="24"/>
      <c r="F55" s="24"/>
      <c r="G55" s="24"/>
      <c r="H55" s="25"/>
      <c r="I55" s="25"/>
      <c r="J55" s="25"/>
      <c r="K55" s="25"/>
      <c r="L55" s="25"/>
      <c r="M55" s="25"/>
      <c r="N55" s="25"/>
      <c r="O55" s="25"/>
      <c r="P55" s="25"/>
      <c r="Q55" s="25"/>
      <c r="R55" s="25"/>
      <c r="S55" s="25"/>
      <c r="T55" s="25"/>
      <c r="U55" s="25"/>
      <c r="V55" s="25"/>
      <c r="W55" s="25"/>
      <c r="X55" s="25"/>
      <c r="Y55" s="25"/>
      <c r="Z55" s="25"/>
      <c r="AA55" s="25"/>
    </row>
    <row r="56" ht="82.5" customHeight="1">
      <c r="A56" s="24"/>
      <c r="B56" s="24" t="s">
        <v>64</v>
      </c>
      <c r="C56" s="24" t="s">
        <v>219</v>
      </c>
      <c r="D56" s="27" t="s">
        <v>326</v>
      </c>
      <c r="E56" s="24"/>
      <c r="F56" s="24" t="s">
        <v>327</v>
      </c>
      <c r="G56" s="24"/>
      <c r="H56" s="25"/>
      <c r="I56" s="25"/>
      <c r="J56" s="25"/>
      <c r="K56" s="25"/>
      <c r="L56" s="25"/>
      <c r="M56" s="25"/>
      <c r="N56" s="25"/>
      <c r="O56" s="25"/>
      <c r="P56" s="25"/>
      <c r="Q56" s="25"/>
      <c r="R56" s="25"/>
      <c r="S56" s="25"/>
      <c r="T56" s="25"/>
      <c r="U56" s="25"/>
      <c r="V56" s="25"/>
      <c r="W56" s="25"/>
      <c r="X56" s="25"/>
      <c r="Y56" s="25"/>
      <c r="Z56" s="25"/>
      <c r="AA56" s="25"/>
    </row>
    <row r="57" ht="82.5" customHeight="1">
      <c r="A57" s="24"/>
      <c r="B57" s="24" t="s">
        <v>65</v>
      </c>
      <c r="C57" s="24" t="s">
        <v>221</v>
      </c>
      <c r="D57" s="24"/>
      <c r="E57" s="24"/>
      <c r="F57" s="24"/>
      <c r="G57" s="24"/>
      <c r="H57" s="25"/>
      <c r="I57" s="25"/>
      <c r="J57" s="25"/>
      <c r="K57" s="25"/>
      <c r="L57" s="25"/>
      <c r="M57" s="25"/>
      <c r="N57" s="25"/>
      <c r="O57" s="25"/>
      <c r="P57" s="25"/>
      <c r="Q57" s="25"/>
      <c r="R57" s="25"/>
      <c r="S57" s="25"/>
      <c r="T57" s="25"/>
      <c r="U57" s="25"/>
      <c r="V57" s="25"/>
      <c r="W57" s="25"/>
      <c r="X57" s="25"/>
      <c r="Y57" s="25"/>
      <c r="Z57" s="25"/>
      <c r="AA57" s="25"/>
    </row>
    <row r="58" ht="82.5" customHeight="1">
      <c r="A58" s="24"/>
      <c r="B58" s="24" t="s">
        <v>66</v>
      </c>
      <c r="C58" s="24" t="s">
        <v>222</v>
      </c>
      <c r="D58" s="24"/>
      <c r="E58" s="24"/>
      <c r="F58" s="24"/>
      <c r="G58" s="24"/>
      <c r="H58" s="25"/>
      <c r="I58" s="25"/>
      <c r="J58" s="25"/>
      <c r="K58" s="25"/>
      <c r="L58" s="25"/>
      <c r="M58" s="25"/>
      <c r="N58" s="25"/>
      <c r="O58" s="25"/>
      <c r="P58" s="25"/>
      <c r="Q58" s="25"/>
      <c r="R58" s="25"/>
      <c r="S58" s="25"/>
      <c r="T58" s="25"/>
      <c r="U58" s="25"/>
      <c r="V58" s="25"/>
      <c r="W58" s="25"/>
      <c r="X58" s="25"/>
      <c r="Y58" s="25"/>
      <c r="Z58" s="25"/>
      <c r="AA58" s="25"/>
    </row>
    <row r="59" ht="82.5" customHeight="1">
      <c r="A59" s="24" t="s">
        <v>70</v>
      </c>
      <c r="B59" s="25"/>
      <c r="C59" s="24" t="s">
        <v>231</v>
      </c>
      <c r="D59" s="24"/>
      <c r="E59" s="24"/>
      <c r="F59" s="24"/>
      <c r="G59" s="24"/>
      <c r="H59" s="25"/>
      <c r="I59" s="25"/>
      <c r="J59" s="25"/>
      <c r="K59" s="25"/>
      <c r="L59" s="25"/>
      <c r="M59" s="25"/>
      <c r="N59" s="25"/>
      <c r="O59" s="25"/>
      <c r="P59" s="25"/>
      <c r="Q59" s="25"/>
      <c r="R59" s="25"/>
      <c r="S59" s="25"/>
      <c r="T59" s="25"/>
      <c r="U59" s="25"/>
      <c r="V59" s="25"/>
      <c r="W59" s="25"/>
      <c r="X59" s="25"/>
      <c r="Y59" s="25"/>
      <c r="Z59" s="25"/>
      <c r="AA59" s="25"/>
    </row>
    <row r="60" ht="51.75" customHeight="1">
      <c r="A60" s="24"/>
      <c r="B60" s="24" t="s">
        <v>71</v>
      </c>
      <c r="C60" s="24" t="s">
        <v>235</v>
      </c>
      <c r="D60" s="24"/>
      <c r="E60" s="25"/>
      <c r="F60" s="25"/>
      <c r="G60" s="24"/>
      <c r="H60" s="25"/>
      <c r="I60" s="25"/>
      <c r="J60" s="25"/>
      <c r="K60" s="25"/>
      <c r="L60" s="25"/>
      <c r="M60" s="25"/>
      <c r="N60" s="25"/>
      <c r="O60" s="25"/>
      <c r="P60" s="25"/>
      <c r="Q60" s="25"/>
      <c r="R60" s="25"/>
      <c r="S60" s="25"/>
      <c r="T60" s="25"/>
      <c r="U60" s="25"/>
      <c r="V60" s="25"/>
      <c r="W60" s="25"/>
      <c r="X60" s="25"/>
      <c r="Y60" s="25"/>
      <c r="Z60" s="25"/>
      <c r="AA60" s="25"/>
    </row>
    <row r="61" ht="78.75" customHeight="1">
      <c r="A61" s="24"/>
      <c r="B61" s="30" t="s">
        <v>72</v>
      </c>
      <c r="C61" s="30" t="s">
        <v>237</v>
      </c>
      <c r="D61" s="25"/>
      <c r="E61" s="25"/>
      <c r="F61" s="25"/>
      <c r="G61" s="24"/>
      <c r="H61" s="25"/>
      <c r="I61" s="25"/>
      <c r="J61" s="25"/>
      <c r="K61" s="25"/>
      <c r="L61" s="25"/>
      <c r="M61" s="25"/>
      <c r="N61" s="25"/>
      <c r="O61" s="25"/>
      <c r="P61" s="25"/>
      <c r="Q61" s="25"/>
      <c r="R61" s="25"/>
      <c r="S61" s="25"/>
      <c r="T61" s="25"/>
      <c r="U61" s="25"/>
      <c r="V61" s="25"/>
      <c r="W61" s="25"/>
      <c r="X61" s="25"/>
      <c r="Y61" s="25"/>
      <c r="Z61" s="25"/>
      <c r="AA61" s="25"/>
    </row>
    <row r="62">
      <c r="A62" s="24" t="s">
        <v>73</v>
      </c>
      <c r="B62" s="25"/>
      <c r="C62" s="24" t="s">
        <v>238</v>
      </c>
      <c r="D62" s="24"/>
      <c r="E62" s="24"/>
      <c r="F62" s="24"/>
      <c r="G62" s="24"/>
      <c r="H62" s="25"/>
      <c r="I62" s="25"/>
      <c r="J62" s="25"/>
      <c r="K62" s="25"/>
      <c r="L62" s="25"/>
      <c r="M62" s="25"/>
      <c r="N62" s="25"/>
      <c r="O62" s="25"/>
      <c r="P62" s="25"/>
      <c r="Q62" s="25"/>
      <c r="R62" s="25"/>
      <c r="S62" s="25"/>
      <c r="T62" s="25"/>
      <c r="U62" s="25"/>
      <c r="V62" s="25"/>
      <c r="W62" s="25"/>
      <c r="X62" s="25"/>
      <c r="Y62" s="25"/>
      <c r="Z62" s="25"/>
      <c r="AA62" s="25"/>
    </row>
    <row r="63">
      <c r="A63" s="24"/>
      <c r="B63" s="24" t="s">
        <v>74</v>
      </c>
      <c r="C63" s="24" t="s">
        <v>242</v>
      </c>
      <c r="D63" s="24"/>
      <c r="E63" s="25"/>
      <c r="F63" s="25"/>
      <c r="G63" s="24"/>
      <c r="H63" s="25"/>
      <c r="I63" s="25"/>
      <c r="J63" s="25"/>
      <c r="K63" s="25"/>
      <c r="L63" s="25"/>
      <c r="M63" s="25"/>
      <c r="N63" s="25"/>
      <c r="O63" s="25"/>
      <c r="P63" s="25"/>
      <c r="Q63" s="25"/>
      <c r="R63" s="25"/>
      <c r="S63" s="25"/>
      <c r="T63" s="25"/>
      <c r="U63" s="25"/>
      <c r="V63" s="25"/>
      <c r="W63" s="25"/>
      <c r="X63" s="25"/>
      <c r="Y63" s="25"/>
      <c r="Z63" s="25"/>
      <c r="AA63" s="25"/>
    </row>
    <row r="64">
      <c r="A64" s="24"/>
      <c r="B64" s="24" t="s">
        <v>75</v>
      </c>
      <c r="C64" s="24" t="s">
        <v>244</v>
      </c>
      <c r="D64" s="25"/>
      <c r="E64" s="25"/>
      <c r="F64" s="25"/>
      <c r="G64" s="24"/>
      <c r="H64" s="25"/>
      <c r="I64" s="25"/>
      <c r="J64" s="25"/>
      <c r="K64" s="25"/>
      <c r="L64" s="25"/>
      <c r="M64" s="25"/>
      <c r="N64" s="25"/>
      <c r="O64" s="25"/>
      <c r="P64" s="25"/>
      <c r="Q64" s="25"/>
      <c r="R64" s="25"/>
      <c r="S64" s="25"/>
      <c r="T64" s="25"/>
      <c r="U64" s="25"/>
      <c r="V64" s="25"/>
      <c r="W64" s="25"/>
      <c r="X64" s="25"/>
      <c r="Y64" s="25"/>
      <c r="Z64" s="25"/>
      <c r="AA64" s="25"/>
    </row>
    <row r="65">
      <c r="A65" s="24"/>
      <c r="B65" s="24" t="s">
        <v>76</v>
      </c>
      <c r="C65" s="24" t="s">
        <v>245</v>
      </c>
      <c r="D65" s="25"/>
      <c r="E65" s="25"/>
      <c r="F65" s="25"/>
      <c r="G65" s="24"/>
      <c r="H65" s="25"/>
      <c r="I65" s="25"/>
      <c r="J65" s="25"/>
      <c r="K65" s="25"/>
      <c r="L65" s="25"/>
      <c r="M65" s="25"/>
      <c r="N65" s="25"/>
      <c r="O65" s="25"/>
      <c r="P65" s="25"/>
      <c r="Q65" s="25"/>
      <c r="R65" s="25"/>
      <c r="S65" s="25"/>
      <c r="T65" s="25"/>
      <c r="U65" s="25"/>
      <c r="V65" s="25"/>
      <c r="W65" s="25"/>
      <c r="X65" s="25"/>
      <c r="Y65" s="25"/>
      <c r="Z65" s="25"/>
      <c r="AA65" s="25"/>
    </row>
    <row r="66">
      <c r="A66" s="24"/>
      <c r="B66" s="24" t="s">
        <v>77</v>
      </c>
      <c r="C66" s="24" t="s">
        <v>246</v>
      </c>
      <c r="D66" s="24"/>
      <c r="E66" s="25"/>
      <c r="F66" s="25"/>
      <c r="G66" s="24"/>
      <c r="H66" s="25"/>
      <c r="I66" s="25"/>
      <c r="J66" s="25"/>
      <c r="K66" s="25"/>
      <c r="L66" s="25"/>
      <c r="M66" s="25"/>
      <c r="N66" s="25"/>
      <c r="O66" s="25"/>
      <c r="P66" s="25"/>
      <c r="Q66" s="25"/>
      <c r="R66" s="25"/>
      <c r="S66" s="25"/>
      <c r="T66" s="25"/>
      <c r="U66" s="25"/>
      <c r="V66" s="25"/>
      <c r="W66" s="25"/>
      <c r="X66" s="25"/>
      <c r="Y66" s="25"/>
      <c r="Z66" s="25"/>
      <c r="AA66" s="25"/>
    </row>
    <row r="67">
      <c r="A67" s="24" t="s">
        <v>85</v>
      </c>
      <c r="B67" s="25"/>
      <c r="C67" s="24" t="s">
        <v>328</v>
      </c>
      <c r="D67" s="24"/>
      <c r="E67" s="24" t="s">
        <v>292</v>
      </c>
      <c r="F67" s="24" t="s">
        <v>329</v>
      </c>
      <c r="G67" s="25"/>
      <c r="H67" s="25"/>
      <c r="I67" s="25"/>
      <c r="J67" s="25"/>
      <c r="K67" s="25"/>
      <c r="L67" s="25"/>
      <c r="M67" s="25"/>
      <c r="N67" s="25"/>
      <c r="O67" s="25"/>
      <c r="P67" s="25"/>
      <c r="Q67" s="25"/>
      <c r="R67" s="25"/>
      <c r="S67" s="25"/>
      <c r="T67" s="25"/>
      <c r="U67" s="25"/>
      <c r="V67" s="25"/>
      <c r="W67" s="25"/>
      <c r="X67" s="25"/>
      <c r="Y67" s="25"/>
      <c r="Z67" s="25"/>
      <c r="AA67" s="25"/>
    </row>
    <row r="68">
      <c r="A68" s="24"/>
      <c r="B68" s="24" t="s">
        <v>86</v>
      </c>
      <c r="C68" s="24" t="s">
        <v>330</v>
      </c>
      <c r="D68" s="24" t="s">
        <v>331</v>
      </c>
      <c r="E68" s="25"/>
      <c r="F68" s="24" t="s">
        <v>332</v>
      </c>
      <c r="G68" s="24" t="s">
        <v>333</v>
      </c>
      <c r="H68" s="25"/>
      <c r="I68" s="25"/>
      <c r="J68" s="25"/>
      <c r="K68" s="25"/>
      <c r="L68" s="25"/>
      <c r="M68" s="25"/>
      <c r="N68" s="25"/>
      <c r="O68" s="25"/>
      <c r="P68" s="25"/>
      <c r="Q68" s="25"/>
      <c r="R68" s="25"/>
      <c r="S68" s="25"/>
      <c r="T68" s="25"/>
      <c r="U68" s="25"/>
      <c r="V68" s="25"/>
      <c r="W68" s="25"/>
      <c r="X68" s="25"/>
      <c r="Y68" s="25"/>
      <c r="Z68" s="25"/>
      <c r="AA68" s="25"/>
    </row>
    <row r="69">
      <c r="A69" s="24"/>
      <c r="B69" s="24" t="s">
        <v>87</v>
      </c>
      <c r="C69" s="24" t="s">
        <v>334</v>
      </c>
      <c r="D69" s="26" t="s">
        <v>6</v>
      </c>
      <c r="E69" s="25"/>
      <c r="F69" s="24" t="s">
        <v>335</v>
      </c>
      <c r="G69" s="24" t="s">
        <v>336</v>
      </c>
      <c r="H69" s="25"/>
      <c r="I69" s="25"/>
      <c r="J69" s="25"/>
      <c r="K69" s="25"/>
      <c r="L69" s="25"/>
      <c r="M69" s="25"/>
      <c r="N69" s="25"/>
      <c r="O69" s="25"/>
      <c r="P69" s="25"/>
      <c r="Q69" s="25"/>
      <c r="R69" s="25"/>
      <c r="S69" s="25"/>
      <c r="T69" s="25"/>
      <c r="U69" s="25"/>
      <c r="V69" s="25"/>
      <c r="W69" s="25"/>
      <c r="X69" s="25"/>
      <c r="Y69" s="25"/>
      <c r="Z69" s="25"/>
      <c r="AA69" s="25"/>
    </row>
    <row r="70">
      <c r="A70" s="24" t="s">
        <v>88</v>
      </c>
      <c r="B70" s="25"/>
      <c r="C70" s="24" t="s">
        <v>337</v>
      </c>
      <c r="D70" s="24"/>
      <c r="E70" s="24" t="s">
        <v>292</v>
      </c>
      <c r="F70" s="24" t="s">
        <v>338</v>
      </c>
      <c r="G70" s="25"/>
      <c r="H70" s="25"/>
      <c r="I70" s="25"/>
      <c r="J70" s="25"/>
      <c r="K70" s="25"/>
      <c r="L70" s="25"/>
      <c r="M70" s="25"/>
      <c r="N70" s="25"/>
      <c r="O70" s="25"/>
      <c r="P70" s="25"/>
      <c r="Q70" s="25"/>
      <c r="R70" s="25"/>
      <c r="S70" s="25"/>
      <c r="T70" s="25"/>
      <c r="U70" s="25"/>
      <c r="V70" s="25"/>
      <c r="W70" s="25"/>
      <c r="X70" s="25"/>
      <c r="Y70" s="25"/>
      <c r="Z70" s="25"/>
      <c r="AA70" s="25"/>
    </row>
    <row r="71">
      <c r="A71" s="24"/>
      <c r="B71" s="24" t="s">
        <v>89</v>
      </c>
      <c r="C71" s="24" t="s">
        <v>339</v>
      </c>
      <c r="D71" s="24" t="s">
        <v>331</v>
      </c>
      <c r="E71" s="25"/>
      <c r="F71" s="24" t="s">
        <v>340</v>
      </c>
      <c r="G71" s="25"/>
      <c r="H71" s="25"/>
      <c r="I71" s="25"/>
      <c r="J71" s="25"/>
      <c r="K71" s="25"/>
      <c r="L71" s="25"/>
      <c r="M71" s="25"/>
      <c r="N71" s="25"/>
      <c r="O71" s="25"/>
      <c r="P71" s="25"/>
      <c r="Q71" s="25"/>
      <c r="R71" s="25"/>
      <c r="S71" s="25"/>
      <c r="T71" s="25"/>
      <c r="U71" s="25"/>
      <c r="V71" s="25"/>
      <c r="W71" s="25"/>
      <c r="X71" s="25"/>
      <c r="Y71" s="25"/>
      <c r="Z71" s="25"/>
      <c r="AA71" s="25"/>
    </row>
    <row r="72">
      <c r="A72" s="24"/>
      <c r="B72" s="24" t="s">
        <v>90</v>
      </c>
      <c r="C72" s="24" t="s">
        <v>341</v>
      </c>
      <c r="D72" s="26" t="s">
        <v>6</v>
      </c>
      <c r="E72" s="25"/>
      <c r="F72" s="24" t="s">
        <v>342</v>
      </c>
      <c r="G72" s="25"/>
      <c r="H72" s="25"/>
      <c r="I72" s="25"/>
      <c r="J72" s="25"/>
      <c r="K72" s="25"/>
      <c r="L72" s="25"/>
      <c r="M72" s="25"/>
      <c r="N72" s="25"/>
      <c r="O72" s="25"/>
      <c r="P72" s="25"/>
      <c r="Q72" s="25"/>
      <c r="R72" s="25"/>
      <c r="S72" s="25"/>
      <c r="T72" s="25"/>
      <c r="U72" s="25"/>
      <c r="V72" s="25"/>
      <c r="W72" s="25"/>
      <c r="X72" s="25"/>
      <c r="Y72" s="25"/>
      <c r="Z72" s="25"/>
      <c r="AA72" s="25"/>
    </row>
    <row r="73">
      <c r="A73" s="24" t="s">
        <v>91</v>
      </c>
      <c r="B73" s="25"/>
      <c r="C73" s="24" t="s">
        <v>343</v>
      </c>
      <c r="D73" s="24"/>
      <c r="E73" s="25"/>
      <c r="F73" s="24"/>
      <c r="G73" s="25"/>
      <c r="H73" s="25"/>
      <c r="I73" s="25"/>
      <c r="J73" s="25"/>
      <c r="K73" s="25"/>
      <c r="L73" s="25"/>
      <c r="M73" s="25"/>
      <c r="N73" s="25"/>
      <c r="O73" s="25"/>
      <c r="P73" s="25"/>
      <c r="Q73" s="25"/>
      <c r="R73" s="25"/>
      <c r="S73" s="25"/>
      <c r="T73" s="25"/>
      <c r="U73" s="25"/>
      <c r="V73" s="25"/>
      <c r="W73" s="25"/>
      <c r="X73" s="25"/>
      <c r="Y73" s="25"/>
      <c r="Z73" s="25"/>
      <c r="AA73" s="25"/>
    </row>
    <row r="74">
      <c r="A74" s="24"/>
      <c r="B74" s="24" t="s">
        <v>92</v>
      </c>
      <c r="C74" s="24" t="s">
        <v>344</v>
      </c>
      <c r="D74" s="24"/>
      <c r="E74" s="25"/>
      <c r="F74" s="24"/>
      <c r="G74" s="25"/>
      <c r="H74" s="25"/>
      <c r="I74" s="25"/>
      <c r="J74" s="25"/>
      <c r="K74" s="25"/>
      <c r="L74" s="25"/>
      <c r="M74" s="25"/>
      <c r="N74" s="25"/>
      <c r="O74" s="25"/>
      <c r="P74" s="25"/>
      <c r="Q74" s="25"/>
      <c r="R74" s="25"/>
      <c r="S74" s="25"/>
      <c r="T74" s="25"/>
      <c r="U74" s="25"/>
      <c r="V74" s="25"/>
      <c r="W74" s="25"/>
      <c r="X74" s="25"/>
      <c r="Y74" s="25"/>
      <c r="Z74" s="25"/>
      <c r="AA74" s="25"/>
    </row>
    <row r="75">
      <c r="A75" s="24"/>
      <c r="B75" s="24" t="s">
        <v>93</v>
      </c>
      <c r="C75" s="24" t="s">
        <v>345</v>
      </c>
      <c r="D75" s="24"/>
      <c r="E75" s="25"/>
      <c r="F75" s="24"/>
      <c r="G75" s="25"/>
      <c r="H75" s="25"/>
      <c r="I75" s="25"/>
      <c r="J75" s="25"/>
      <c r="K75" s="25"/>
      <c r="L75" s="25"/>
      <c r="M75" s="25"/>
      <c r="N75" s="25"/>
      <c r="O75" s="25"/>
      <c r="P75" s="25"/>
      <c r="Q75" s="25"/>
      <c r="R75" s="25"/>
      <c r="S75" s="25"/>
      <c r="T75" s="25"/>
      <c r="U75" s="25"/>
      <c r="V75" s="25"/>
      <c r="W75" s="25"/>
      <c r="X75" s="25"/>
      <c r="Y75" s="25"/>
      <c r="Z75" s="25"/>
      <c r="AA75" s="25"/>
    </row>
    <row r="76">
      <c r="A76" s="24"/>
      <c r="B76" s="24" t="s">
        <v>94</v>
      </c>
      <c r="C76" s="24" t="s">
        <v>346</v>
      </c>
      <c r="D76" s="24"/>
      <c r="E76" s="25"/>
      <c r="F76" s="24"/>
      <c r="G76" s="25"/>
      <c r="H76" s="25"/>
      <c r="I76" s="25"/>
      <c r="J76" s="25"/>
      <c r="K76" s="25"/>
      <c r="L76" s="25"/>
      <c r="M76" s="25"/>
      <c r="N76" s="25"/>
      <c r="O76" s="25"/>
      <c r="P76" s="25"/>
      <c r="Q76" s="25"/>
      <c r="R76" s="25"/>
      <c r="S76" s="25"/>
      <c r="T76" s="25"/>
      <c r="U76" s="25"/>
      <c r="V76" s="25"/>
      <c r="W76" s="25"/>
      <c r="X76" s="25"/>
      <c r="Y76" s="25"/>
      <c r="Z76" s="25"/>
      <c r="AA76" s="25"/>
    </row>
    <row r="77">
      <c r="A77" s="24" t="s">
        <v>95</v>
      </c>
      <c r="B77" s="25"/>
      <c r="C77" s="24" t="s">
        <v>347</v>
      </c>
      <c r="D77" s="24"/>
      <c r="E77" s="24" t="s">
        <v>292</v>
      </c>
      <c r="F77" s="24" t="s">
        <v>348</v>
      </c>
      <c r="G77" s="25"/>
      <c r="H77" s="25"/>
      <c r="I77" s="25"/>
      <c r="J77" s="25"/>
      <c r="K77" s="25"/>
      <c r="L77" s="25"/>
      <c r="M77" s="25"/>
      <c r="N77" s="25"/>
      <c r="O77" s="25"/>
      <c r="P77" s="25"/>
      <c r="Q77" s="25"/>
      <c r="R77" s="25"/>
      <c r="S77" s="25"/>
      <c r="T77" s="25"/>
      <c r="U77" s="25"/>
      <c r="V77" s="25"/>
      <c r="W77" s="25"/>
      <c r="X77" s="25"/>
      <c r="Y77" s="25"/>
      <c r="Z77" s="25"/>
      <c r="AA77" s="25"/>
    </row>
    <row r="78">
      <c r="A78" s="24"/>
      <c r="B78" s="24" t="s">
        <v>96</v>
      </c>
      <c r="C78" s="24" t="s">
        <v>349</v>
      </c>
      <c r="D78" s="26" t="s">
        <v>6</v>
      </c>
      <c r="E78" s="25"/>
      <c r="F78" s="25"/>
      <c r="G78" s="25"/>
      <c r="H78" s="25"/>
      <c r="I78" s="25"/>
      <c r="J78" s="25"/>
      <c r="K78" s="25"/>
      <c r="L78" s="25"/>
      <c r="M78" s="25"/>
      <c r="N78" s="25"/>
      <c r="O78" s="25"/>
      <c r="P78" s="25"/>
      <c r="Q78" s="25"/>
      <c r="R78" s="25"/>
      <c r="S78" s="25"/>
      <c r="T78" s="25"/>
      <c r="U78" s="25"/>
      <c r="V78" s="25"/>
      <c r="W78" s="25"/>
      <c r="X78" s="25"/>
      <c r="Y78" s="25"/>
      <c r="Z78" s="25"/>
      <c r="AA78" s="25"/>
    </row>
    <row r="79">
      <c r="A79" s="24" t="s">
        <v>97</v>
      </c>
      <c r="B79" s="25"/>
      <c r="C79" s="24" t="s">
        <v>350</v>
      </c>
      <c r="D79" s="25"/>
      <c r="E79" s="25"/>
      <c r="F79" s="25"/>
      <c r="G79" s="25"/>
      <c r="H79" s="25"/>
      <c r="I79" s="25"/>
      <c r="J79" s="25"/>
      <c r="K79" s="25"/>
      <c r="L79" s="25"/>
      <c r="M79" s="25"/>
      <c r="N79" s="25"/>
      <c r="O79" s="25"/>
      <c r="P79" s="25"/>
      <c r="Q79" s="25"/>
      <c r="R79" s="25"/>
      <c r="S79" s="25"/>
      <c r="T79" s="25"/>
      <c r="U79" s="25"/>
      <c r="V79" s="25"/>
      <c r="W79" s="25"/>
      <c r="X79" s="25"/>
      <c r="Y79" s="25"/>
      <c r="Z79" s="25"/>
      <c r="AA79" s="25"/>
    </row>
    <row r="80">
      <c r="A80" s="24"/>
      <c r="B80" s="24" t="s">
        <v>98</v>
      </c>
      <c r="C80" s="24" t="s">
        <v>351</v>
      </c>
      <c r="D80" s="25"/>
      <c r="E80" s="25"/>
      <c r="F80" s="25"/>
      <c r="G80" s="25"/>
      <c r="H80" s="25"/>
      <c r="I80" s="25"/>
      <c r="J80" s="25"/>
      <c r="K80" s="25"/>
      <c r="L80" s="25"/>
      <c r="M80" s="25"/>
      <c r="N80" s="25"/>
      <c r="O80" s="25"/>
      <c r="P80" s="25"/>
      <c r="Q80" s="25"/>
      <c r="R80" s="25"/>
      <c r="S80" s="25"/>
      <c r="T80" s="25"/>
      <c r="U80" s="25"/>
      <c r="V80" s="25"/>
      <c r="W80" s="25"/>
      <c r="X80" s="25"/>
      <c r="Y80" s="25"/>
      <c r="Z80" s="25"/>
      <c r="AA80" s="25"/>
    </row>
    <row r="81">
      <c r="A81" s="24"/>
      <c r="B81" s="24" t="s">
        <v>99</v>
      </c>
      <c r="C81" s="24" t="s">
        <v>352</v>
      </c>
      <c r="D81" s="25"/>
      <c r="E81" s="25"/>
      <c r="F81" s="25"/>
      <c r="G81" s="25"/>
      <c r="H81" s="25"/>
      <c r="I81" s="25"/>
      <c r="J81" s="25"/>
      <c r="K81" s="25"/>
      <c r="L81" s="25"/>
      <c r="M81" s="25"/>
      <c r="N81" s="25"/>
      <c r="O81" s="25"/>
      <c r="P81" s="25"/>
      <c r="Q81" s="25"/>
      <c r="R81" s="25"/>
      <c r="S81" s="25"/>
      <c r="T81" s="25"/>
      <c r="U81" s="25"/>
      <c r="V81" s="25"/>
      <c r="W81" s="25"/>
      <c r="X81" s="25"/>
      <c r="Y81" s="25"/>
      <c r="Z81" s="25"/>
      <c r="AA81" s="25"/>
    </row>
    <row r="82">
      <c r="A82" s="24" t="s">
        <v>100</v>
      </c>
      <c r="B82" s="25"/>
      <c r="C82" s="24" t="s">
        <v>267</v>
      </c>
      <c r="D82" s="25"/>
      <c r="E82" s="25"/>
      <c r="F82" s="25"/>
      <c r="G82" s="25"/>
      <c r="H82" s="25"/>
      <c r="I82" s="25"/>
      <c r="J82" s="25"/>
      <c r="K82" s="25"/>
      <c r="L82" s="25"/>
      <c r="M82" s="25"/>
      <c r="N82" s="25"/>
      <c r="O82" s="25"/>
      <c r="P82" s="25"/>
      <c r="Q82" s="25"/>
      <c r="R82" s="25"/>
      <c r="S82" s="25"/>
      <c r="T82" s="25"/>
      <c r="U82" s="25"/>
      <c r="V82" s="25"/>
      <c r="W82" s="25"/>
      <c r="X82" s="25"/>
      <c r="Y82" s="25"/>
      <c r="Z82" s="25"/>
      <c r="AA82" s="25"/>
    </row>
    <row r="83">
      <c r="A83" s="24"/>
      <c r="B83" s="24" t="s">
        <v>101</v>
      </c>
      <c r="C83" s="24" t="s">
        <v>268</v>
      </c>
      <c r="D83" s="25"/>
      <c r="E83" s="25"/>
      <c r="F83" s="25"/>
      <c r="G83" s="25"/>
      <c r="H83" s="25"/>
      <c r="I83" s="25"/>
      <c r="J83" s="25"/>
      <c r="K83" s="25"/>
      <c r="L83" s="25"/>
      <c r="M83" s="25"/>
      <c r="N83" s="25"/>
      <c r="O83" s="25"/>
      <c r="P83" s="25"/>
      <c r="Q83" s="25"/>
      <c r="R83" s="25"/>
      <c r="S83" s="25"/>
      <c r="T83" s="25"/>
      <c r="U83" s="25"/>
      <c r="V83" s="25"/>
      <c r="W83" s="25"/>
      <c r="X83" s="25"/>
      <c r="Y83" s="25"/>
      <c r="Z83" s="25"/>
      <c r="AA83" s="25"/>
    </row>
    <row r="84">
      <c r="A84" s="24" t="s">
        <v>102</v>
      </c>
      <c r="B84" s="25"/>
      <c r="C84" s="24" t="s">
        <v>271</v>
      </c>
      <c r="D84" s="25"/>
      <c r="E84" s="25"/>
      <c r="F84" s="25"/>
      <c r="G84" s="25"/>
      <c r="H84" s="25"/>
      <c r="I84" s="25"/>
      <c r="J84" s="25"/>
      <c r="K84" s="25"/>
      <c r="L84" s="25"/>
      <c r="M84" s="25"/>
      <c r="N84" s="25"/>
      <c r="O84" s="25"/>
      <c r="P84" s="25"/>
      <c r="Q84" s="25"/>
      <c r="R84" s="25"/>
      <c r="S84" s="25"/>
      <c r="T84" s="25"/>
      <c r="U84" s="25"/>
      <c r="V84" s="25"/>
      <c r="W84" s="25"/>
      <c r="X84" s="25"/>
      <c r="Y84" s="25"/>
      <c r="Z84" s="25"/>
      <c r="AA84" s="25"/>
    </row>
    <row r="85">
      <c r="A85" s="24"/>
      <c r="B85" s="24" t="s">
        <v>103</v>
      </c>
      <c r="C85" s="24" t="s">
        <v>353</v>
      </c>
      <c r="D85" s="25"/>
      <c r="E85" s="25"/>
      <c r="F85" s="25"/>
      <c r="G85" s="25"/>
      <c r="H85" s="25"/>
      <c r="I85" s="25"/>
      <c r="J85" s="25"/>
      <c r="K85" s="25"/>
      <c r="L85" s="25"/>
      <c r="M85" s="25"/>
      <c r="N85" s="25"/>
      <c r="O85" s="25"/>
      <c r="P85" s="25"/>
      <c r="Q85" s="25"/>
      <c r="R85" s="25"/>
      <c r="S85" s="25"/>
      <c r="T85" s="25"/>
      <c r="U85" s="25"/>
      <c r="V85" s="25"/>
      <c r="W85" s="25"/>
      <c r="X85" s="25"/>
      <c r="Y85" s="25"/>
      <c r="Z85" s="25"/>
      <c r="AA85" s="25"/>
    </row>
    <row r="86">
      <c r="A86" s="24" t="s">
        <v>106</v>
      </c>
      <c r="B86" s="25"/>
      <c r="C86" s="24" t="s">
        <v>279</v>
      </c>
      <c r="D86" s="25"/>
      <c r="E86" s="24"/>
      <c r="F86" s="25"/>
      <c r="G86" s="25"/>
      <c r="H86" s="25"/>
      <c r="I86" s="25"/>
      <c r="J86" s="25"/>
      <c r="K86" s="25"/>
      <c r="L86" s="25"/>
      <c r="M86" s="25"/>
      <c r="N86" s="25"/>
      <c r="O86" s="25"/>
      <c r="P86" s="25"/>
      <c r="Q86" s="25"/>
      <c r="R86" s="25"/>
      <c r="S86" s="25"/>
      <c r="T86" s="25"/>
      <c r="U86" s="25"/>
      <c r="V86" s="25"/>
      <c r="W86" s="25"/>
      <c r="X86" s="25"/>
      <c r="Y86" s="25"/>
      <c r="Z86" s="25"/>
      <c r="AA86" s="25"/>
    </row>
    <row r="87">
      <c r="A87" s="24"/>
      <c r="B87" s="24" t="s">
        <v>107</v>
      </c>
      <c r="C87" s="24" t="s">
        <v>354</v>
      </c>
      <c r="D87" s="26" t="s">
        <v>6</v>
      </c>
      <c r="E87" s="24"/>
      <c r="F87" s="24" t="s">
        <v>355</v>
      </c>
      <c r="G87" s="25"/>
      <c r="H87" s="25"/>
      <c r="I87" s="25"/>
      <c r="J87" s="25"/>
      <c r="K87" s="25"/>
      <c r="L87" s="25"/>
      <c r="M87" s="25"/>
      <c r="N87" s="25"/>
      <c r="O87" s="25"/>
      <c r="P87" s="25"/>
      <c r="Q87" s="25"/>
      <c r="R87" s="25"/>
      <c r="S87" s="25"/>
      <c r="T87" s="25"/>
      <c r="U87" s="25"/>
      <c r="V87" s="25"/>
      <c r="W87" s="25"/>
      <c r="X87" s="25"/>
      <c r="Y87" s="25"/>
      <c r="Z87" s="25"/>
      <c r="AA87" s="25"/>
    </row>
    <row r="88">
      <c r="A88" s="24"/>
      <c r="B88" s="24" t="s">
        <v>108</v>
      </c>
      <c r="G88" s="25"/>
      <c r="H88" s="25"/>
      <c r="I88" s="25"/>
      <c r="J88" s="25"/>
      <c r="K88" s="25"/>
      <c r="L88" s="25"/>
      <c r="M88" s="25"/>
      <c r="N88" s="25"/>
      <c r="O88" s="25"/>
      <c r="P88" s="25"/>
      <c r="Q88" s="25"/>
      <c r="R88" s="25"/>
      <c r="S88" s="25"/>
      <c r="T88" s="25"/>
      <c r="U88" s="25"/>
      <c r="V88" s="25"/>
      <c r="W88" s="25"/>
      <c r="X88" s="25"/>
      <c r="Y88" s="25"/>
      <c r="Z88" s="25"/>
      <c r="AA88" s="25"/>
    </row>
    <row r="89">
      <c r="A89" s="24" t="s">
        <v>109</v>
      </c>
      <c r="B89" s="25"/>
      <c r="C89" s="24" t="s">
        <v>356</v>
      </c>
      <c r="D89" s="24"/>
      <c r="E89" s="24" t="s">
        <v>357</v>
      </c>
      <c r="F89" s="25"/>
      <c r="G89" s="25"/>
      <c r="H89" s="25"/>
      <c r="I89" s="25"/>
      <c r="J89" s="25"/>
      <c r="K89" s="25"/>
      <c r="L89" s="25"/>
      <c r="M89" s="25"/>
      <c r="N89" s="25"/>
      <c r="O89" s="25"/>
      <c r="P89" s="25"/>
      <c r="Q89" s="25"/>
      <c r="R89" s="25"/>
      <c r="S89" s="25"/>
      <c r="T89" s="25"/>
      <c r="U89" s="25"/>
      <c r="V89" s="25"/>
      <c r="W89" s="25"/>
      <c r="X89" s="25"/>
      <c r="Y89" s="25"/>
      <c r="Z89" s="25"/>
      <c r="AA89" s="25"/>
    </row>
    <row r="90">
      <c r="A90" s="24"/>
      <c r="B90" s="24" t="s">
        <v>110</v>
      </c>
      <c r="C90" s="24" t="s">
        <v>358</v>
      </c>
      <c r="D90" s="26" t="s">
        <v>6</v>
      </c>
      <c r="E90" s="25"/>
      <c r="F90" s="24" t="s">
        <v>359</v>
      </c>
      <c r="G90" s="25"/>
      <c r="H90" s="25"/>
      <c r="I90" s="25"/>
      <c r="J90" s="25"/>
      <c r="K90" s="25"/>
      <c r="L90" s="25"/>
      <c r="M90" s="25"/>
      <c r="N90" s="25"/>
      <c r="O90" s="25"/>
      <c r="P90" s="25"/>
      <c r="Q90" s="25"/>
      <c r="R90" s="25"/>
      <c r="S90" s="25"/>
      <c r="T90" s="25"/>
      <c r="U90" s="25"/>
      <c r="V90" s="25"/>
      <c r="W90" s="25"/>
      <c r="X90" s="25"/>
      <c r="Y90" s="25"/>
      <c r="Z90" s="25"/>
      <c r="AA90" s="25"/>
    </row>
    <row r="91">
      <c r="A91" s="24" t="s">
        <v>111</v>
      </c>
      <c r="B91" s="25"/>
      <c r="C91" s="24" t="s">
        <v>360</v>
      </c>
      <c r="D91" s="24"/>
      <c r="E91" s="25"/>
      <c r="F91" s="25"/>
      <c r="G91" s="25"/>
      <c r="H91" s="25"/>
      <c r="I91" s="25"/>
      <c r="J91" s="25"/>
      <c r="K91" s="25"/>
      <c r="L91" s="25"/>
      <c r="M91" s="25"/>
      <c r="N91" s="25"/>
      <c r="O91" s="25"/>
      <c r="P91" s="25"/>
      <c r="Q91" s="25"/>
      <c r="R91" s="25"/>
      <c r="S91" s="25"/>
      <c r="T91" s="25"/>
      <c r="U91" s="25"/>
      <c r="V91" s="25"/>
      <c r="W91" s="25"/>
      <c r="X91" s="25"/>
      <c r="Y91" s="25"/>
      <c r="Z91" s="25"/>
      <c r="AA91" s="25"/>
    </row>
    <row r="92">
      <c r="A92" s="24"/>
      <c r="B92" s="24" t="s">
        <v>112</v>
      </c>
      <c r="C92" s="24" t="s">
        <v>361</v>
      </c>
      <c r="D92" s="26" t="s">
        <v>6</v>
      </c>
      <c r="E92" s="25"/>
      <c r="F92" s="24" t="s">
        <v>362</v>
      </c>
      <c r="G92" s="25"/>
      <c r="H92" s="25"/>
      <c r="I92" s="25"/>
      <c r="J92" s="25"/>
      <c r="K92" s="25"/>
      <c r="L92" s="25"/>
      <c r="M92" s="25"/>
      <c r="N92" s="25"/>
      <c r="O92" s="25"/>
      <c r="P92" s="25"/>
      <c r="Q92" s="25"/>
      <c r="R92" s="25"/>
      <c r="S92" s="25"/>
      <c r="T92" s="25"/>
      <c r="U92" s="25"/>
      <c r="V92" s="25"/>
      <c r="W92" s="25"/>
      <c r="X92" s="25"/>
      <c r="Y92" s="25"/>
      <c r="Z92" s="25"/>
      <c r="AA92" s="25"/>
    </row>
    <row r="93">
      <c r="A93" s="24"/>
      <c r="B93" s="24" t="s">
        <v>113</v>
      </c>
      <c r="C93" s="24" t="s">
        <v>363</v>
      </c>
      <c r="D93" s="26" t="s">
        <v>6</v>
      </c>
      <c r="E93" s="25"/>
      <c r="F93" s="25"/>
      <c r="G93" s="25"/>
      <c r="H93" s="25"/>
      <c r="I93" s="25"/>
      <c r="J93" s="25"/>
      <c r="K93" s="25"/>
      <c r="L93" s="25"/>
      <c r="M93" s="25"/>
      <c r="N93" s="25"/>
      <c r="O93" s="25"/>
      <c r="P93" s="25"/>
      <c r="Q93" s="25"/>
      <c r="R93" s="25"/>
      <c r="S93" s="25"/>
      <c r="T93" s="25"/>
      <c r="U93" s="25"/>
      <c r="V93" s="25"/>
      <c r="W93" s="25"/>
      <c r="X93" s="25"/>
      <c r="Y93" s="25"/>
      <c r="Z93" s="25"/>
      <c r="AA93" s="25"/>
    </row>
    <row r="94">
      <c r="A94" s="24"/>
      <c r="B94" s="24" t="s">
        <v>114</v>
      </c>
      <c r="C94" s="24" t="s">
        <v>364</v>
      </c>
      <c r="D94" s="26" t="s">
        <v>6</v>
      </c>
      <c r="E94" s="25"/>
      <c r="F94" s="25"/>
      <c r="G94" s="25"/>
      <c r="H94" s="25"/>
      <c r="I94" s="25"/>
      <c r="J94" s="25"/>
      <c r="K94" s="25"/>
      <c r="L94" s="25"/>
      <c r="M94" s="25"/>
      <c r="N94" s="25"/>
      <c r="O94" s="25"/>
      <c r="P94" s="25"/>
      <c r="Q94" s="25"/>
      <c r="R94" s="25"/>
      <c r="S94" s="25"/>
      <c r="T94" s="25"/>
      <c r="U94" s="25"/>
      <c r="V94" s="25"/>
      <c r="W94" s="25"/>
      <c r="X94" s="25"/>
      <c r="Y94" s="25"/>
      <c r="Z94" s="25"/>
      <c r="AA94" s="25"/>
    </row>
    <row r="95">
      <c r="A95" s="24"/>
      <c r="B95" s="24" t="s">
        <v>115</v>
      </c>
      <c r="C95" s="24" t="s">
        <v>365</v>
      </c>
      <c r="D95" s="26" t="s">
        <v>6</v>
      </c>
      <c r="E95" s="25"/>
      <c r="F95" s="25"/>
      <c r="G95" s="25"/>
      <c r="H95" s="25"/>
      <c r="I95" s="25"/>
      <c r="J95" s="25"/>
      <c r="K95" s="25"/>
      <c r="L95" s="25"/>
      <c r="M95" s="25"/>
      <c r="N95" s="25"/>
      <c r="O95" s="25"/>
      <c r="P95" s="25"/>
      <c r="Q95" s="25"/>
      <c r="R95" s="25"/>
      <c r="S95" s="25"/>
      <c r="T95" s="25"/>
      <c r="U95" s="25"/>
      <c r="V95" s="25"/>
      <c r="W95" s="25"/>
      <c r="X95" s="25"/>
      <c r="Y95" s="25"/>
      <c r="Z95" s="25"/>
      <c r="AA95" s="25"/>
    </row>
    <row r="96">
      <c r="A96" s="24" t="s">
        <v>118</v>
      </c>
      <c r="B96" s="25"/>
      <c r="C96" s="24" t="s">
        <v>366</v>
      </c>
      <c r="D96" s="24"/>
      <c r="E96" s="25"/>
      <c r="F96" s="24" t="s">
        <v>367</v>
      </c>
      <c r="G96" s="25"/>
      <c r="H96" s="25"/>
      <c r="I96" s="25"/>
      <c r="J96" s="25"/>
      <c r="K96" s="25"/>
      <c r="L96" s="25"/>
      <c r="M96" s="25"/>
      <c r="N96" s="25"/>
      <c r="O96" s="25"/>
      <c r="P96" s="25"/>
      <c r="Q96" s="25"/>
      <c r="R96" s="25"/>
      <c r="S96" s="25"/>
      <c r="T96" s="25"/>
      <c r="U96" s="25"/>
      <c r="V96" s="25"/>
      <c r="W96" s="25"/>
      <c r="X96" s="25"/>
      <c r="Y96" s="25"/>
      <c r="Z96" s="25"/>
      <c r="AA96" s="25"/>
    </row>
    <row r="97">
      <c r="A97" s="24"/>
      <c r="B97" s="24" t="s">
        <v>119</v>
      </c>
      <c r="C97" s="24" t="s">
        <v>368</v>
      </c>
      <c r="D97" s="27" t="s">
        <v>289</v>
      </c>
      <c r="E97" s="25"/>
      <c r="F97" s="24" t="s">
        <v>369</v>
      </c>
      <c r="G97" s="25"/>
      <c r="H97" s="25"/>
      <c r="I97" s="25"/>
      <c r="J97" s="25"/>
      <c r="K97" s="25"/>
      <c r="L97" s="25"/>
      <c r="M97" s="25"/>
      <c r="N97" s="25"/>
      <c r="O97" s="25"/>
      <c r="P97" s="25"/>
      <c r="Q97" s="25"/>
      <c r="R97" s="25"/>
      <c r="S97" s="25"/>
      <c r="T97" s="25"/>
      <c r="U97" s="25"/>
      <c r="V97" s="25"/>
      <c r="W97" s="25"/>
      <c r="X97" s="25"/>
      <c r="Y97" s="25"/>
      <c r="Z97" s="25"/>
      <c r="AA97" s="25"/>
    </row>
    <row r="98">
      <c r="A98" s="24"/>
      <c r="B98" s="24" t="s">
        <v>120</v>
      </c>
      <c r="C98" s="24" t="s">
        <v>370</v>
      </c>
      <c r="D98" s="26" t="s">
        <v>371</v>
      </c>
      <c r="E98" s="25"/>
      <c r="F98" s="24" t="s">
        <v>372</v>
      </c>
      <c r="G98" s="25"/>
      <c r="H98" s="25"/>
      <c r="I98" s="25"/>
      <c r="J98" s="25"/>
      <c r="K98" s="25"/>
      <c r="L98" s="25"/>
      <c r="M98" s="25"/>
      <c r="N98" s="25"/>
      <c r="O98" s="25"/>
      <c r="P98" s="25"/>
      <c r="Q98" s="25"/>
      <c r="R98" s="25"/>
      <c r="S98" s="25"/>
      <c r="T98" s="25"/>
      <c r="U98" s="25"/>
      <c r="V98" s="25"/>
      <c r="W98" s="25"/>
      <c r="X98" s="25"/>
      <c r="Y98" s="25"/>
      <c r="Z98" s="25"/>
      <c r="AA98" s="25"/>
    </row>
    <row r="99">
      <c r="A99" s="24"/>
      <c r="B99" s="24" t="s">
        <v>121</v>
      </c>
      <c r="C99" s="24" t="s">
        <v>373</v>
      </c>
      <c r="D99" s="26" t="s">
        <v>371</v>
      </c>
      <c r="E99" s="25"/>
      <c r="F99" s="24" t="s">
        <v>374</v>
      </c>
      <c r="G99" s="25"/>
      <c r="H99" s="25"/>
      <c r="I99" s="25"/>
      <c r="J99" s="25"/>
      <c r="K99" s="25"/>
      <c r="L99" s="25"/>
      <c r="M99" s="25"/>
      <c r="N99" s="25"/>
      <c r="O99" s="25"/>
      <c r="P99" s="25"/>
      <c r="Q99" s="25"/>
      <c r="R99" s="25"/>
      <c r="S99" s="25"/>
      <c r="T99" s="25"/>
      <c r="U99" s="25"/>
      <c r="V99" s="25"/>
      <c r="W99" s="25"/>
      <c r="X99" s="25"/>
      <c r="Y99" s="25"/>
      <c r="Z99" s="25"/>
      <c r="AA99" s="25"/>
    </row>
    <row r="100">
      <c r="A100" s="24" t="s">
        <v>122</v>
      </c>
      <c r="B100" s="25"/>
      <c r="C100" s="24" t="s">
        <v>375</v>
      </c>
      <c r="D100" s="26" t="s">
        <v>6</v>
      </c>
      <c r="E100" s="24" t="s">
        <v>292</v>
      </c>
      <c r="F100" s="24" t="s">
        <v>376</v>
      </c>
      <c r="G100" s="24"/>
      <c r="H100" s="25"/>
      <c r="I100" s="25"/>
      <c r="J100" s="25"/>
      <c r="K100" s="25"/>
      <c r="L100" s="25"/>
      <c r="M100" s="25"/>
      <c r="N100" s="25"/>
      <c r="O100" s="25"/>
      <c r="P100" s="25"/>
      <c r="Q100" s="25"/>
      <c r="R100" s="25"/>
      <c r="S100" s="25"/>
      <c r="T100" s="25"/>
      <c r="U100" s="25"/>
      <c r="V100" s="25"/>
      <c r="W100" s="25"/>
      <c r="X100" s="25"/>
      <c r="Y100" s="25"/>
      <c r="Z100" s="25"/>
      <c r="AA100" s="25"/>
    </row>
    <row r="101">
      <c r="A101" s="24"/>
      <c r="B101" s="24" t="s">
        <v>123</v>
      </c>
      <c r="C101" s="24" t="s">
        <v>377</v>
      </c>
      <c r="D101" s="26" t="s">
        <v>6</v>
      </c>
      <c r="E101" s="25"/>
      <c r="F101" s="24" t="s">
        <v>378</v>
      </c>
      <c r="G101" s="25"/>
      <c r="H101" s="25"/>
      <c r="I101" s="25"/>
      <c r="J101" s="25"/>
      <c r="K101" s="25"/>
      <c r="L101" s="25"/>
      <c r="M101" s="25"/>
      <c r="N101" s="25"/>
      <c r="O101" s="25"/>
      <c r="P101" s="25"/>
      <c r="Q101" s="25"/>
      <c r="R101" s="25"/>
      <c r="S101" s="25"/>
      <c r="T101" s="25"/>
      <c r="U101" s="25"/>
      <c r="V101" s="25"/>
      <c r="W101" s="25"/>
      <c r="X101" s="25"/>
      <c r="Y101" s="25"/>
      <c r="Z101" s="25"/>
      <c r="AA101" s="25"/>
    </row>
    <row r="102">
      <c r="A102" s="24"/>
      <c r="B102" s="25"/>
      <c r="C102" s="24"/>
      <c r="D102" s="24"/>
      <c r="E102" s="25"/>
      <c r="F102" s="24"/>
      <c r="G102" s="25"/>
      <c r="H102" s="25"/>
      <c r="I102" s="25"/>
      <c r="J102" s="25"/>
      <c r="K102" s="25"/>
      <c r="L102" s="25"/>
      <c r="M102" s="25"/>
      <c r="N102" s="25"/>
      <c r="O102" s="25"/>
      <c r="P102" s="25"/>
      <c r="Q102" s="25"/>
      <c r="R102" s="25"/>
      <c r="S102" s="25"/>
      <c r="T102" s="25"/>
      <c r="U102" s="25"/>
      <c r="V102" s="25"/>
      <c r="W102" s="25"/>
      <c r="X102" s="25"/>
      <c r="Y102" s="25"/>
      <c r="Z102" s="25"/>
      <c r="AA102" s="25"/>
    </row>
    <row r="103">
      <c r="A103" s="25"/>
      <c r="B103" s="24"/>
      <c r="C103" s="24"/>
      <c r="D103" s="24"/>
      <c r="E103" s="25"/>
      <c r="F103" s="24"/>
      <c r="G103" s="25"/>
      <c r="H103" s="25"/>
      <c r="I103" s="25"/>
      <c r="J103" s="25"/>
      <c r="K103" s="25"/>
      <c r="L103" s="25"/>
      <c r="M103" s="25"/>
      <c r="N103" s="25"/>
      <c r="O103" s="25"/>
      <c r="P103" s="25"/>
      <c r="Q103" s="25"/>
      <c r="R103" s="25"/>
      <c r="S103" s="25"/>
      <c r="T103" s="25"/>
      <c r="U103" s="25"/>
      <c r="V103" s="25"/>
      <c r="W103" s="25"/>
      <c r="X103" s="25"/>
      <c r="Y103" s="25"/>
      <c r="Z103" s="25"/>
      <c r="AA103" s="25"/>
    </row>
    <row r="104">
      <c r="A104" s="25"/>
      <c r="B104" s="24"/>
      <c r="C104" s="24"/>
      <c r="D104" s="24"/>
      <c r="E104" s="25"/>
      <c r="F104" s="24"/>
      <c r="G104" s="25"/>
      <c r="H104" s="25"/>
      <c r="I104" s="25"/>
      <c r="J104" s="25"/>
      <c r="K104" s="25"/>
      <c r="L104" s="25"/>
      <c r="M104" s="25"/>
      <c r="N104" s="25"/>
      <c r="O104" s="25"/>
      <c r="P104" s="25"/>
      <c r="Q104" s="25"/>
      <c r="R104" s="25"/>
      <c r="S104" s="25"/>
      <c r="T104" s="25"/>
      <c r="U104" s="25"/>
      <c r="V104" s="25"/>
      <c r="W104" s="25"/>
      <c r="X104" s="25"/>
      <c r="Y104" s="25"/>
      <c r="Z104" s="25"/>
      <c r="AA104" s="25"/>
    </row>
    <row r="105">
      <c r="A105" s="25"/>
      <c r="C105" s="24"/>
      <c r="D105" s="25"/>
      <c r="E105" s="25"/>
      <c r="F105" s="25"/>
      <c r="G105" s="25"/>
      <c r="H105" s="25"/>
      <c r="I105" s="25"/>
      <c r="J105" s="25"/>
      <c r="K105" s="25"/>
      <c r="L105" s="25"/>
      <c r="M105" s="25"/>
      <c r="N105" s="25"/>
      <c r="O105" s="25"/>
      <c r="P105" s="25"/>
      <c r="Q105" s="25"/>
      <c r="R105" s="25"/>
      <c r="S105" s="25"/>
      <c r="T105" s="25"/>
      <c r="U105" s="25"/>
      <c r="V105" s="25"/>
      <c r="W105" s="25"/>
      <c r="X105" s="25"/>
      <c r="Y105" s="25"/>
      <c r="Z105" s="25"/>
      <c r="AA105" s="25"/>
    </row>
    <row r="106">
      <c r="A106" s="25"/>
      <c r="B106" s="24"/>
      <c r="C106" s="24"/>
      <c r="D106" s="25"/>
      <c r="E106" s="25"/>
      <c r="F106" s="25"/>
      <c r="G106" s="25"/>
      <c r="H106" s="25"/>
      <c r="I106" s="25"/>
      <c r="J106" s="25"/>
      <c r="K106" s="25"/>
      <c r="L106" s="25"/>
      <c r="M106" s="25"/>
      <c r="N106" s="25"/>
      <c r="O106" s="25"/>
      <c r="P106" s="25"/>
      <c r="Q106" s="25"/>
      <c r="R106" s="25"/>
      <c r="S106" s="25"/>
      <c r="T106" s="25"/>
      <c r="U106" s="25"/>
      <c r="V106" s="25"/>
      <c r="W106" s="25"/>
      <c r="X106" s="25"/>
      <c r="Y106" s="25"/>
      <c r="Z106" s="25"/>
      <c r="AA106" s="25"/>
    </row>
    <row r="107">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c r="AA107" s="25"/>
    </row>
    <row r="108">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c r="AA108" s="25"/>
    </row>
    <row r="109">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c r="AA109" s="25"/>
    </row>
    <row r="110">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c r="AA110" s="25"/>
    </row>
    <row r="111">
      <c r="A111" s="25"/>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c r="AA111" s="25"/>
    </row>
    <row r="112">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c r="AA112" s="25"/>
    </row>
    <row r="113">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c r="AA113" s="25"/>
    </row>
    <row r="114">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c r="AA114" s="25"/>
    </row>
    <row r="115">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c r="AA115" s="25"/>
    </row>
    <row r="116">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c r="AA116" s="25"/>
    </row>
    <row r="117">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c r="AA117" s="25"/>
    </row>
    <row r="118">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c r="AA118" s="25"/>
    </row>
    <row r="119">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c r="AA119" s="25"/>
    </row>
    <row r="120">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c r="AA120" s="25"/>
    </row>
    <row r="121">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c r="AA121" s="25"/>
    </row>
    <row r="122">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c r="AA122" s="25"/>
    </row>
    <row r="123">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c r="AA123" s="25"/>
    </row>
    <row r="124">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c r="AA124" s="25"/>
    </row>
    <row r="125">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c r="AA125" s="25"/>
    </row>
    <row r="126">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c r="AA126" s="25"/>
    </row>
    <row r="127">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row>
    <row r="128">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row>
    <row r="129">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row>
    <row r="130">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row>
    <row r="131">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row>
    <row r="132">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row>
    <row r="133">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c r="AA133" s="25"/>
    </row>
    <row r="134">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c r="AA134" s="25"/>
    </row>
    <row r="135">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row>
    <row r="136">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row>
    <row r="137">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row>
    <row r="138">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row>
    <row r="139">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row>
    <row r="140">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row>
    <row r="141">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row>
    <row r="142">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c r="AA142" s="25"/>
    </row>
    <row r="143">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c r="AA143" s="25"/>
    </row>
    <row r="144">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row>
    <row r="145">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row>
    <row r="146">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row>
    <row r="147">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row>
    <row r="148">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row>
    <row r="149">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row>
    <row r="150">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row>
    <row r="151">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c r="AA151" s="25"/>
    </row>
    <row r="152">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c r="AA152" s="25"/>
    </row>
    <row r="153">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c r="AA153" s="25"/>
    </row>
    <row r="154">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row>
    <row r="155">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row>
    <row r="156">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row>
    <row r="157">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row>
    <row r="158">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c r="AA158" s="25"/>
    </row>
    <row r="159">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c r="AA159" s="25"/>
    </row>
    <row r="160">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row>
    <row r="161">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row>
    <row r="162">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row>
    <row r="163">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row>
    <row r="164">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c r="AA164" s="25"/>
    </row>
    <row r="165">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c r="AA165" s="25"/>
    </row>
    <row r="166">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row>
    <row r="167">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row>
    <row r="168">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row>
    <row r="169">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row>
    <row r="170">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c r="AA170" s="25"/>
    </row>
    <row r="171">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c r="AA171" s="25"/>
    </row>
    <row r="172">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row>
    <row r="173">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row>
    <row r="174">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c r="AA174" s="25"/>
    </row>
    <row r="175">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c r="AA175" s="25"/>
    </row>
    <row r="176">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row>
    <row r="177">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row>
    <row r="178">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row>
    <row r="179">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c r="AA179" s="25"/>
    </row>
    <row r="180">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c r="AA180" s="25"/>
    </row>
    <row r="181">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row>
    <row r="182">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row>
    <row r="183">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row>
    <row r="184">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row>
    <row r="185">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row>
    <row r="186">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row>
    <row r="187">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row>
    <row r="188">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row>
    <row r="189">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row>
    <row r="190">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row>
    <row r="191">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row>
    <row r="192">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row>
    <row r="193">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row>
    <row r="194">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row>
    <row r="195">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row>
    <row r="196">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row>
    <row r="197">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row>
    <row r="198">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row>
    <row r="199">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row>
    <row r="200">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row>
    <row r="201">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row>
    <row r="202">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row>
    <row r="203">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row>
    <row r="204">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row>
    <row r="205">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c r="AA205" s="25"/>
    </row>
    <row r="206">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row>
    <row r="207">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row>
    <row r="208">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row>
    <row r="209">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row>
    <row r="210">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row>
    <row r="211">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row>
    <row r="212">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row>
    <row r="213">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row>
    <row r="214">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row>
    <row r="215">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row>
    <row r="216">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row>
    <row r="217">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row>
    <row r="218">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c r="AA218" s="25"/>
    </row>
    <row r="219">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c r="AA219" s="25"/>
    </row>
    <row r="220">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row>
    <row r="221">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row>
    <row r="222">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c r="AA222" s="25"/>
    </row>
    <row r="223">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row>
    <row r="224">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row>
    <row r="225">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c r="AA225" s="25"/>
    </row>
    <row r="226">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c r="AA226" s="25"/>
    </row>
    <row r="227">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c r="AA227" s="25"/>
    </row>
    <row r="228">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c r="AA228" s="25"/>
    </row>
    <row r="229">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c r="AA229" s="25"/>
    </row>
    <row r="230">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c r="AA230" s="25"/>
    </row>
    <row r="231">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c r="AA231" s="25"/>
    </row>
    <row r="232">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c r="AA232" s="25"/>
    </row>
    <row r="233">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c r="AA233" s="25"/>
    </row>
    <row r="234">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c r="AA234" s="25"/>
    </row>
    <row r="235">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c r="AA235" s="25"/>
    </row>
    <row r="236">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c r="AA236" s="25"/>
    </row>
    <row r="237">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c r="AA237" s="25"/>
    </row>
    <row r="238">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c r="AA238" s="25"/>
    </row>
    <row r="239">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c r="AA239" s="25"/>
    </row>
    <row r="240">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c r="AA240" s="25"/>
    </row>
    <row r="241">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c r="AA241" s="25"/>
    </row>
    <row r="242">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c r="AA242" s="25"/>
    </row>
    <row r="243">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c r="AA243" s="25"/>
    </row>
    <row r="244">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c r="AA244" s="25"/>
    </row>
    <row r="245">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c r="AA245" s="25"/>
    </row>
    <row r="246">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c r="AA246" s="25"/>
    </row>
    <row r="247">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c r="AA247" s="25"/>
    </row>
    <row r="248">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c r="AA248" s="25"/>
    </row>
    <row r="249">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c r="AA249" s="25"/>
    </row>
    <row r="250">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c r="AA250" s="25"/>
    </row>
    <row r="251">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c r="AA251" s="25"/>
    </row>
    <row r="252">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c r="AA252" s="25"/>
    </row>
    <row r="253">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c r="AA253" s="25"/>
    </row>
    <row r="254">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c r="AA254" s="25"/>
    </row>
    <row r="255">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c r="AA255" s="25"/>
    </row>
    <row r="256">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c r="AA256" s="25"/>
    </row>
    <row r="257">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c r="AA257" s="25"/>
    </row>
    <row r="258">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c r="AA258" s="25"/>
    </row>
    <row r="259">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c r="AA259" s="25"/>
    </row>
    <row r="260">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c r="AA260" s="25"/>
    </row>
    <row r="261">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c r="AA261" s="25"/>
    </row>
    <row r="262">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c r="AA262" s="25"/>
    </row>
    <row r="263">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c r="AA263" s="25"/>
    </row>
    <row r="264">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c r="AA264" s="25"/>
    </row>
    <row r="265">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c r="AA265" s="25"/>
    </row>
    <row r="266">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c r="AA266" s="25"/>
    </row>
    <row r="267">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c r="AA267" s="25"/>
    </row>
    <row r="268">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c r="AA268" s="25"/>
    </row>
    <row r="269">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c r="AA269" s="25"/>
    </row>
    <row r="270">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c r="AA270" s="25"/>
    </row>
    <row r="271">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c r="AA271" s="25"/>
    </row>
    <row r="272">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c r="AA272" s="25"/>
    </row>
    <row r="273">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c r="AA273" s="25"/>
    </row>
    <row r="274">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c r="AA274" s="25"/>
    </row>
    <row r="275">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c r="AA275" s="25"/>
    </row>
    <row r="276">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c r="AA276" s="25"/>
    </row>
    <row r="277">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c r="AA277" s="25"/>
    </row>
    <row r="278">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c r="AA278" s="25"/>
    </row>
    <row r="279">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c r="AA279" s="25"/>
    </row>
    <row r="280">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c r="AA280" s="25"/>
    </row>
    <row r="281">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c r="AA281" s="25"/>
    </row>
    <row r="282">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c r="AA282" s="25"/>
    </row>
    <row r="283">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c r="AA283" s="25"/>
    </row>
    <row r="284">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c r="AA284" s="25"/>
    </row>
    <row r="285">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c r="AA285" s="25"/>
    </row>
    <row r="286">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c r="AA286" s="25"/>
    </row>
    <row r="287">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c r="AA287" s="25"/>
    </row>
    <row r="288">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c r="AA288" s="25"/>
    </row>
    <row r="289">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c r="AA289" s="25"/>
    </row>
    <row r="290">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c r="AA290" s="25"/>
    </row>
    <row r="291">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c r="AA291" s="25"/>
    </row>
    <row r="292">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c r="AA292" s="25"/>
    </row>
    <row r="293">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c r="AA293" s="25"/>
    </row>
    <row r="294">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c r="AA294" s="25"/>
    </row>
    <row r="295">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c r="AA295" s="25"/>
    </row>
    <row r="296">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c r="AA296" s="25"/>
    </row>
    <row r="297">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c r="AA297" s="25"/>
    </row>
    <row r="298">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c r="AA298" s="25"/>
    </row>
    <row r="299">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c r="AA299" s="25"/>
    </row>
    <row r="300">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c r="AA300" s="25"/>
    </row>
    <row r="301">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c r="AA301" s="25"/>
    </row>
    <row r="302">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c r="AA302" s="25"/>
    </row>
    <row r="303">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c r="AA303" s="25"/>
    </row>
    <row r="304">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c r="AA304" s="25"/>
    </row>
    <row r="305">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c r="AA305" s="25"/>
    </row>
    <row r="306">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c r="AA306" s="25"/>
    </row>
    <row r="307">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c r="AA307" s="25"/>
    </row>
    <row r="308">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c r="AA308" s="25"/>
    </row>
    <row r="309">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c r="AA309" s="25"/>
    </row>
    <row r="310">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c r="AA310" s="25"/>
    </row>
    <row r="311">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c r="AA311" s="25"/>
    </row>
    <row r="312">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c r="AA312" s="25"/>
    </row>
    <row r="313">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c r="AA313" s="25"/>
    </row>
    <row r="314">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c r="AA314" s="25"/>
    </row>
    <row r="315">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c r="AA315" s="25"/>
    </row>
    <row r="316">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c r="AA316" s="25"/>
    </row>
    <row r="317">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c r="AA317" s="25"/>
    </row>
    <row r="318">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c r="AA318" s="25"/>
    </row>
    <row r="319">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c r="AA319" s="25"/>
    </row>
    <row r="320">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c r="AA320" s="25"/>
    </row>
    <row r="321">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c r="AA321" s="25"/>
    </row>
    <row r="322">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c r="AA322" s="25"/>
    </row>
    <row r="323">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c r="AA323" s="25"/>
    </row>
    <row r="324">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c r="AA324" s="25"/>
    </row>
    <row r="325">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c r="AA325" s="25"/>
    </row>
    <row r="326">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c r="AA326" s="25"/>
    </row>
    <row r="327">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c r="AA327" s="25"/>
    </row>
    <row r="328">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c r="AA328" s="25"/>
    </row>
    <row r="329">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c r="AA329" s="25"/>
    </row>
    <row r="330">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c r="AA330" s="25"/>
    </row>
    <row r="331">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c r="AA331" s="25"/>
    </row>
    <row r="332">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c r="AA332" s="25"/>
    </row>
    <row r="333">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c r="AA333" s="25"/>
    </row>
    <row r="334">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c r="AA334" s="25"/>
    </row>
    <row r="335">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c r="AA335" s="25"/>
    </row>
    <row r="336">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c r="AA336" s="25"/>
    </row>
    <row r="337">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c r="AA337" s="25"/>
    </row>
    <row r="338">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c r="AA338" s="25"/>
    </row>
    <row r="339">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c r="AA339" s="25"/>
    </row>
    <row r="340">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c r="AA340" s="25"/>
    </row>
    <row r="341">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c r="AA341" s="25"/>
    </row>
    <row r="342">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c r="AA342" s="25"/>
    </row>
    <row r="343">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c r="AA343" s="25"/>
    </row>
    <row r="344">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c r="AA344" s="25"/>
    </row>
    <row r="345">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c r="AA345" s="25"/>
    </row>
    <row r="346">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c r="AA346" s="25"/>
    </row>
    <row r="347">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c r="AA347" s="25"/>
    </row>
    <row r="348">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c r="AA348" s="25"/>
    </row>
    <row r="349">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c r="AA349" s="25"/>
    </row>
    <row r="350">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c r="AA350" s="25"/>
    </row>
    <row r="351">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c r="AA351" s="25"/>
    </row>
    <row r="352">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c r="AA352" s="25"/>
    </row>
    <row r="353">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c r="AA353" s="25"/>
    </row>
    <row r="354">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c r="AA354" s="25"/>
    </row>
    <row r="355">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c r="AA355" s="25"/>
    </row>
    <row r="356">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c r="AA356" s="25"/>
    </row>
    <row r="357">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c r="AA357" s="25"/>
    </row>
    <row r="358">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c r="AA358" s="25"/>
    </row>
    <row r="359">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c r="AA359" s="25"/>
    </row>
    <row r="360">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c r="AA360" s="25"/>
    </row>
    <row r="361">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c r="AA361" s="25"/>
    </row>
    <row r="362">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c r="AA362" s="25"/>
    </row>
    <row r="363">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c r="AA363" s="25"/>
    </row>
    <row r="364">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c r="AA364" s="25"/>
    </row>
    <row r="365">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c r="AA365" s="25"/>
    </row>
    <row r="366">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c r="AA366" s="25"/>
    </row>
    <row r="367">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c r="AA367" s="25"/>
    </row>
    <row r="368">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c r="AA368" s="25"/>
    </row>
    <row r="369">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c r="AA369" s="25"/>
    </row>
    <row r="370">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c r="AA370" s="25"/>
    </row>
    <row r="371">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c r="AA371" s="25"/>
    </row>
    <row r="372">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c r="AA372" s="25"/>
    </row>
    <row r="373">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c r="AA373" s="25"/>
    </row>
    <row r="374">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c r="AA374" s="25"/>
    </row>
    <row r="375">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c r="AA375" s="25"/>
    </row>
    <row r="376">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c r="AA376" s="25"/>
    </row>
    <row r="377">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c r="AA377" s="25"/>
    </row>
    <row r="378">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c r="AA378" s="25"/>
    </row>
    <row r="379">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c r="AA379" s="25"/>
    </row>
    <row r="380">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c r="AA380" s="25"/>
    </row>
    <row r="381">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c r="AA381" s="25"/>
    </row>
    <row r="382">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c r="AA382" s="25"/>
    </row>
    <row r="383">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c r="AA383" s="25"/>
    </row>
    <row r="384">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c r="AA384" s="25"/>
    </row>
    <row r="385">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c r="AA385" s="25"/>
    </row>
    <row r="386">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c r="AA386" s="25"/>
    </row>
    <row r="387">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c r="AA387" s="25"/>
    </row>
    <row r="388">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c r="AA388" s="25"/>
    </row>
    <row r="389">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c r="AA389" s="25"/>
    </row>
    <row r="390">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c r="AA390" s="25"/>
    </row>
    <row r="391">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c r="AA391" s="25"/>
    </row>
    <row r="392">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c r="AA392" s="25"/>
    </row>
    <row r="393">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c r="AA393" s="25"/>
    </row>
    <row r="394">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c r="AA394" s="25"/>
    </row>
    <row r="395">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c r="AA395" s="25"/>
    </row>
    <row r="396">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c r="AA396" s="25"/>
    </row>
    <row r="397">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c r="AA397" s="25"/>
    </row>
    <row r="398">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c r="AA398" s="25"/>
    </row>
    <row r="399">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c r="AA399" s="25"/>
    </row>
    <row r="400">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c r="AA400" s="25"/>
    </row>
    <row r="401">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c r="AA401" s="25"/>
    </row>
    <row r="402">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c r="AA402" s="25"/>
    </row>
    <row r="403">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c r="AA403" s="25"/>
    </row>
    <row r="404">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c r="AA404" s="25"/>
    </row>
    <row r="405">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c r="AA405" s="25"/>
    </row>
    <row r="406">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c r="AA406" s="25"/>
    </row>
    <row r="407">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c r="AA407" s="25"/>
    </row>
    <row r="408">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c r="AA408" s="25"/>
    </row>
    <row r="409">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c r="AA409" s="25"/>
    </row>
    <row r="410">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c r="AA410" s="25"/>
    </row>
    <row r="411">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c r="AA411" s="25"/>
    </row>
    <row r="412">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c r="AA412" s="25"/>
    </row>
    <row r="413">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c r="AA413" s="25"/>
    </row>
    <row r="414">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c r="AA414" s="25"/>
    </row>
    <row r="415">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c r="AA415" s="25"/>
    </row>
    <row r="416">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c r="AA416" s="25"/>
    </row>
    <row r="417">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c r="AA417" s="25"/>
    </row>
    <row r="418">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c r="AA418" s="25"/>
    </row>
    <row r="419">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c r="AA419" s="25"/>
    </row>
    <row r="420">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c r="AA420" s="25"/>
    </row>
    <row r="421">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c r="AA421" s="25"/>
    </row>
    <row r="422">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c r="AA422" s="25"/>
    </row>
    <row r="423">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c r="AA423" s="25"/>
    </row>
    <row r="424">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c r="AA424" s="25"/>
    </row>
    <row r="425">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c r="AA425" s="25"/>
    </row>
    <row r="426">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c r="AA426" s="25"/>
    </row>
    <row r="427">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c r="AA427" s="25"/>
    </row>
    <row r="428">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c r="AA428" s="25"/>
    </row>
    <row r="429">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c r="AA429" s="25"/>
    </row>
    <row r="430">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c r="AA430" s="25"/>
    </row>
    <row r="431">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c r="AA431" s="25"/>
    </row>
    <row r="432">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c r="AA432" s="25"/>
    </row>
    <row r="433">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c r="AA433" s="25"/>
    </row>
    <row r="434">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c r="AA434" s="25"/>
    </row>
    <row r="435">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c r="AA435" s="25"/>
    </row>
    <row r="436">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c r="AA436" s="25"/>
    </row>
    <row r="437">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c r="AA437" s="25"/>
    </row>
    <row r="438">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c r="AA438" s="25"/>
    </row>
    <row r="439">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c r="AA439" s="25"/>
    </row>
    <row r="440">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c r="AA440" s="25"/>
    </row>
    <row r="441">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c r="AA441" s="25"/>
    </row>
    <row r="442">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c r="AA442" s="25"/>
    </row>
    <row r="443">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c r="AA443" s="25"/>
    </row>
    <row r="444">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c r="AA444" s="25"/>
    </row>
    <row r="445">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c r="AA445" s="25"/>
    </row>
    <row r="446">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c r="AA446" s="25"/>
    </row>
    <row r="447">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c r="AA447" s="25"/>
    </row>
    <row r="448">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c r="AA448" s="25"/>
    </row>
    <row r="449">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c r="AA449" s="25"/>
    </row>
    <row r="450">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c r="AA450" s="25"/>
    </row>
    <row r="451">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c r="AA451" s="25"/>
    </row>
    <row r="452">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c r="AA452" s="25"/>
    </row>
    <row r="453">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c r="AA453" s="25"/>
    </row>
    <row r="454">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c r="AA454" s="25"/>
    </row>
    <row r="455">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c r="AA455" s="25"/>
    </row>
    <row r="456">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c r="AA456" s="25"/>
    </row>
    <row r="457">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c r="AA457" s="25"/>
    </row>
    <row r="458">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c r="AA458" s="25"/>
    </row>
    <row r="459">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c r="AA459" s="25"/>
    </row>
    <row r="460">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c r="AA460" s="25"/>
    </row>
    <row r="461">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c r="AA461" s="25"/>
    </row>
    <row r="462">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c r="AA462" s="25"/>
    </row>
    <row r="463">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c r="AA463" s="25"/>
    </row>
    <row r="464">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c r="AA464" s="25"/>
    </row>
    <row r="465">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c r="AA465" s="25"/>
    </row>
    <row r="466">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c r="AA466" s="25"/>
    </row>
    <row r="467">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c r="AA467" s="25"/>
    </row>
    <row r="468">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c r="AA468" s="25"/>
    </row>
    <row r="469">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c r="AA469" s="25"/>
    </row>
    <row r="470">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c r="AA470" s="25"/>
    </row>
    <row r="471">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c r="AA471" s="25"/>
    </row>
    <row r="472">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c r="AA472" s="25"/>
    </row>
    <row r="473">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c r="AA473" s="25"/>
    </row>
    <row r="474">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c r="AA474" s="25"/>
    </row>
    <row r="475">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c r="AA475" s="25"/>
    </row>
    <row r="476">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c r="AA476" s="25"/>
    </row>
    <row r="477">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c r="AA477" s="25"/>
    </row>
    <row r="478">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c r="AA478" s="25"/>
    </row>
    <row r="479">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c r="AA479" s="25"/>
    </row>
    <row r="480">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c r="AA480" s="25"/>
    </row>
    <row r="481">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c r="AA481" s="25"/>
    </row>
    <row r="482">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c r="AA482" s="25"/>
    </row>
    <row r="483">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c r="AA483" s="25"/>
    </row>
    <row r="484">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c r="AA484" s="25"/>
    </row>
    <row r="485">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c r="AA485" s="25"/>
    </row>
    <row r="486">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c r="AA486" s="25"/>
    </row>
    <row r="487">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c r="AA487" s="25"/>
    </row>
    <row r="488">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c r="AA488" s="25"/>
    </row>
    <row r="489">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c r="AA489" s="25"/>
    </row>
    <row r="490">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c r="AA490" s="25"/>
    </row>
    <row r="491">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c r="AA491" s="25"/>
    </row>
    <row r="492">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c r="AA492" s="25"/>
    </row>
    <row r="493">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c r="AA493" s="25"/>
    </row>
    <row r="494">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c r="AA494" s="25"/>
    </row>
    <row r="495">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c r="AA495" s="25"/>
    </row>
    <row r="496">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c r="AA496" s="25"/>
    </row>
    <row r="497">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c r="AA497" s="25"/>
    </row>
    <row r="498">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c r="AA498" s="25"/>
    </row>
    <row r="499">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c r="AA499" s="25"/>
    </row>
    <row r="500">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c r="AA500" s="25"/>
    </row>
    <row r="501">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c r="AA501" s="25"/>
    </row>
    <row r="502">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c r="AA502" s="25"/>
    </row>
    <row r="503">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c r="AA503" s="25"/>
    </row>
    <row r="504">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c r="AA504" s="25"/>
    </row>
    <row r="505">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c r="AA505" s="25"/>
    </row>
    <row r="506">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c r="AA506" s="25"/>
    </row>
    <row r="507">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c r="AA507" s="25"/>
    </row>
    <row r="508">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c r="AA508" s="25"/>
    </row>
    <row r="509">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c r="AA509" s="25"/>
    </row>
    <row r="510">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c r="AA510" s="25"/>
    </row>
    <row r="511">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c r="AA511" s="25"/>
    </row>
    <row r="512">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c r="AA512" s="25"/>
    </row>
    <row r="513">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c r="AA513" s="25"/>
    </row>
    <row r="514">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c r="AA514" s="25"/>
    </row>
    <row r="515">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c r="AA515" s="25"/>
    </row>
    <row r="516">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c r="AA516" s="25"/>
    </row>
    <row r="517">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c r="AA517" s="25"/>
    </row>
    <row r="518">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c r="AA518" s="25"/>
    </row>
    <row r="519">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c r="AA519" s="25"/>
    </row>
    <row r="520">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c r="AA520" s="25"/>
    </row>
    <row r="521">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c r="AA521" s="25"/>
    </row>
    <row r="522">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c r="AA522" s="25"/>
    </row>
    <row r="523">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c r="AA523" s="25"/>
    </row>
    <row r="524">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c r="AA524" s="25"/>
    </row>
    <row r="525">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c r="AA525" s="25"/>
    </row>
    <row r="526">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c r="AA526" s="25"/>
    </row>
    <row r="527">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c r="AA527" s="25"/>
    </row>
    <row r="528">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c r="AA528" s="25"/>
    </row>
    <row r="529">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c r="AA529" s="25"/>
    </row>
    <row r="530">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c r="AA530" s="25"/>
    </row>
    <row r="531">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c r="AA531" s="25"/>
    </row>
    <row r="532">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c r="AA532" s="25"/>
    </row>
    <row r="533">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c r="AA533" s="25"/>
    </row>
    <row r="534">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c r="AA534" s="25"/>
    </row>
    <row r="535">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c r="AA535" s="25"/>
    </row>
    <row r="536">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c r="AA536" s="25"/>
    </row>
    <row r="537">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c r="AA537" s="25"/>
    </row>
    <row r="538">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c r="AA538" s="25"/>
    </row>
    <row r="539">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c r="AA539" s="25"/>
    </row>
    <row r="540">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c r="AA540" s="25"/>
    </row>
    <row r="541">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c r="AA541" s="25"/>
    </row>
    <row r="542">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c r="AA542" s="25"/>
    </row>
    <row r="543">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c r="AA543" s="25"/>
    </row>
    <row r="544">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c r="AA544" s="25"/>
    </row>
    <row r="545">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c r="AA545" s="25"/>
    </row>
    <row r="546">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c r="AA546" s="25"/>
    </row>
    <row r="547">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c r="AA547" s="25"/>
    </row>
    <row r="548">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c r="AA548" s="25"/>
    </row>
    <row r="549">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c r="AA549" s="25"/>
    </row>
    <row r="550">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c r="AA550" s="25"/>
    </row>
    <row r="551">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c r="AA551" s="25"/>
    </row>
    <row r="552">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c r="AA552" s="25"/>
    </row>
    <row r="553">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c r="AA553" s="25"/>
    </row>
    <row r="554">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c r="AA554" s="25"/>
    </row>
    <row r="555">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c r="AA555" s="25"/>
    </row>
    <row r="556">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c r="AA556" s="25"/>
    </row>
    <row r="557">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c r="AA557" s="25"/>
    </row>
    <row r="558">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c r="AA558" s="25"/>
    </row>
    <row r="559">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c r="AA559" s="25"/>
    </row>
    <row r="560">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c r="AA560" s="25"/>
    </row>
    <row r="561">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c r="AA561" s="25"/>
    </row>
    <row r="562">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c r="AA562" s="25"/>
    </row>
    <row r="563">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c r="AA563" s="25"/>
    </row>
    <row r="564">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c r="AA564" s="25"/>
    </row>
    <row r="565">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c r="AA565" s="25"/>
    </row>
    <row r="566">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c r="AA566" s="25"/>
    </row>
    <row r="567">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c r="AA567" s="25"/>
    </row>
    <row r="568">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c r="AA568" s="25"/>
    </row>
    <row r="569">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c r="AA569" s="25"/>
    </row>
    <row r="570">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c r="AA570" s="25"/>
    </row>
    <row r="571">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c r="AA571" s="25"/>
    </row>
    <row r="572">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c r="AA572" s="25"/>
    </row>
    <row r="573">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c r="AA573" s="25"/>
    </row>
    <row r="574">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c r="AA574" s="25"/>
    </row>
    <row r="575">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c r="AA575" s="25"/>
    </row>
    <row r="576">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c r="AA576" s="25"/>
    </row>
    <row r="577">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c r="AA577" s="25"/>
    </row>
    <row r="578">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c r="AA578" s="25"/>
    </row>
    <row r="579">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c r="AA579" s="25"/>
    </row>
    <row r="580">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c r="AA580" s="25"/>
    </row>
    <row r="581">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c r="AA581" s="25"/>
    </row>
    <row r="582">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c r="AA582" s="25"/>
    </row>
    <row r="583">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c r="AA583" s="25"/>
    </row>
    <row r="584">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c r="AA584" s="25"/>
    </row>
    <row r="585">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c r="AA585" s="25"/>
    </row>
    <row r="586">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c r="AA586" s="25"/>
    </row>
    <row r="587">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c r="AA587" s="25"/>
    </row>
    <row r="588">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c r="AA588" s="25"/>
    </row>
    <row r="589">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c r="AA589" s="25"/>
    </row>
    <row r="590">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c r="AA590" s="25"/>
    </row>
    <row r="591">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c r="AA591" s="25"/>
    </row>
    <row r="592">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c r="AA592" s="25"/>
    </row>
    <row r="593">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c r="AA593" s="25"/>
    </row>
    <row r="594">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c r="AA594" s="25"/>
    </row>
    <row r="595">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c r="AA595" s="25"/>
    </row>
    <row r="596">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c r="AA596" s="25"/>
    </row>
    <row r="597">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c r="AA597" s="25"/>
    </row>
    <row r="598">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c r="AA598" s="25"/>
    </row>
    <row r="599">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c r="AA599" s="25"/>
    </row>
    <row r="600">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c r="AA600" s="25"/>
    </row>
    <row r="601">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c r="AA601" s="25"/>
    </row>
    <row r="602">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c r="AA602" s="25"/>
    </row>
    <row r="603">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c r="AA603" s="25"/>
    </row>
    <row r="604">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c r="AA604" s="25"/>
    </row>
    <row r="605">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c r="AA605" s="25"/>
    </row>
    <row r="606">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c r="AA606" s="25"/>
    </row>
    <row r="607">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c r="AA607" s="25"/>
    </row>
    <row r="608">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c r="AA608" s="25"/>
    </row>
    <row r="609">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c r="AA609" s="25"/>
    </row>
    <row r="610">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c r="AA610" s="25"/>
    </row>
    <row r="611">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c r="AA611" s="25"/>
    </row>
    <row r="612">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c r="AA612" s="25"/>
    </row>
    <row r="613">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c r="AA613" s="25"/>
    </row>
    <row r="614">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c r="AA614" s="25"/>
    </row>
    <row r="615">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c r="AA615" s="25"/>
    </row>
    <row r="616">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c r="AA616" s="25"/>
    </row>
    <row r="617">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c r="AA617" s="25"/>
    </row>
    <row r="618">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c r="AA618" s="25"/>
    </row>
    <row r="619">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c r="AA619" s="25"/>
    </row>
    <row r="620">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c r="AA620" s="25"/>
    </row>
    <row r="621">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c r="AA621" s="25"/>
    </row>
    <row r="622">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c r="AA622" s="25"/>
    </row>
    <row r="623">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c r="AA623" s="25"/>
    </row>
    <row r="624">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c r="AA624" s="25"/>
    </row>
    <row r="625">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c r="AA625" s="25"/>
    </row>
    <row r="626">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c r="AA626" s="25"/>
    </row>
    <row r="627">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c r="AA627" s="25"/>
    </row>
    <row r="628">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c r="AA628" s="25"/>
    </row>
    <row r="629">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c r="AA629" s="25"/>
    </row>
    <row r="630">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c r="AA630" s="25"/>
    </row>
    <row r="631">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c r="AA631" s="25"/>
    </row>
    <row r="632">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c r="AA632" s="25"/>
    </row>
    <row r="633">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c r="AA633" s="25"/>
    </row>
    <row r="634">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c r="AA634" s="25"/>
    </row>
    <row r="635">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c r="AA635" s="25"/>
    </row>
    <row r="636">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c r="AA636" s="25"/>
    </row>
    <row r="637">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c r="AA637" s="25"/>
    </row>
    <row r="638">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c r="AA638" s="25"/>
    </row>
    <row r="639">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c r="AA639" s="25"/>
    </row>
    <row r="640">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c r="AA640" s="25"/>
    </row>
    <row r="641">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c r="AA641" s="25"/>
    </row>
    <row r="642">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c r="AA642" s="25"/>
    </row>
    <row r="643">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c r="AA643" s="25"/>
    </row>
    <row r="644">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c r="AA644" s="25"/>
    </row>
    <row r="645">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c r="AA645" s="25"/>
    </row>
    <row r="646">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c r="AA646" s="25"/>
    </row>
    <row r="647">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c r="AA647" s="25"/>
    </row>
    <row r="648">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c r="AA648" s="25"/>
    </row>
    <row r="649">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c r="AA649" s="25"/>
    </row>
    <row r="650">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c r="AA650" s="25"/>
    </row>
    <row r="651">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c r="AA651" s="25"/>
    </row>
    <row r="652">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c r="AA652" s="25"/>
    </row>
    <row r="653">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c r="AA653" s="25"/>
    </row>
    <row r="654">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c r="AA654" s="25"/>
    </row>
    <row r="655">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c r="AA655" s="25"/>
    </row>
    <row r="656">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c r="AA656" s="25"/>
    </row>
    <row r="657">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c r="AA657" s="25"/>
    </row>
    <row r="658">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c r="AA658" s="25"/>
    </row>
    <row r="659">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c r="AA659" s="25"/>
    </row>
    <row r="660">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c r="AA660" s="25"/>
    </row>
    <row r="661">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c r="AA661" s="25"/>
    </row>
    <row r="662">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c r="AA662" s="25"/>
    </row>
    <row r="663">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c r="AA663" s="25"/>
    </row>
    <row r="664">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c r="AA664" s="25"/>
    </row>
    <row r="665">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c r="AA665" s="25"/>
    </row>
    <row r="666">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c r="AA666" s="25"/>
    </row>
    <row r="667">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c r="AA667" s="25"/>
    </row>
    <row r="668">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c r="AA668" s="25"/>
    </row>
    <row r="669">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c r="AA669" s="25"/>
    </row>
    <row r="670">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c r="AA670" s="25"/>
    </row>
    <row r="671">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c r="AA671" s="25"/>
    </row>
    <row r="672">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c r="AA672" s="25"/>
    </row>
    <row r="673">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c r="AA673" s="25"/>
    </row>
    <row r="674">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c r="AA674" s="25"/>
    </row>
    <row r="675">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c r="AA675" s="25"/>
    </row>
    <row r="676">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c r="AA676" s="25"/>
    </row>
    <row r="677">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c r="AA677" s="25"/>
    </row>
    <row r="678">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c r="AA678" s="25"/>
    </row>
    <row r="679">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c r="AA679" s="25"/>
    </row>
    <row r="680">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c r="AA680" s="25"/>
    </row>
    <row r="681">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c r="AA681" s="25"/>
    </row>
    <row r="682">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c r="AA682" s="25"/>
    </row>
    <row r="683">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c r="AA683" s="25"/>
    </row>
    <row r="684">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c r="AA684" s="25"/>
    </row>
    <row r="685">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c r="AA685" s="25"/>
    </row>
    <row r="686">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c r="AA686" s="25"/>
    </row>
    <row r="687">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c r="AA687" s="25"/>
    </row>
    <row r="688">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c r="AA688" s="25"/>
    </row>
    <row r="689">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c r="AA689" s="25"/>
    </row>
    <row r="690">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c r="AA690" s="25"/>
    </row>
    <row r="691">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c r="AA691" s="25"/>
    </row>
    <row r="692">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c r="AA692" s="25"/>
    </row>
    <row r="693">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c r="AA693" s="25"/>
    </row>
    <row r="694">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c r="AA694" s="25"/>
    </row>
    <row r="695">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c r="AA695" s="25"/>
    </row>
    <row r="696">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c r="AA696" s="25"/>
    </row>
    <row r="697">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c r="AA697" s="25"/>
    </row>
    <row r="698">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c r="AA698" s="25"/>
    </row>
    <row r="699">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c r="AA699" s="25"/>
    </row>
    <row r="700">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c r="AA700" s="25"/>
    </row>
    <row r="701">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c r="AA701" s="25"/>
    </row>
    <row r="702">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c r="AA702" s="25"/>
    </row>
    <row r="703">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c r="AA703" s="25"/>
    </row>
    <row r="704">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c r="AA704" s="25"/>
    </row>
    <row r="705">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c r="AA705" s="25"/>
    </row>
    <row r="706">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c r="AA706" s="25"/>
    </row>
    <row r="707">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c r="AA707" s="25"/>
    </row>
    <row r="708">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c r="AA708" s="25"/>
    </row>
    <row r="709">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c r="AA709" s="25"/>
    </row>
    <row r="710">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c r="AA710" s="25"/>
    </row>
    <row r="711">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c r="AA711" s="25"/>
    </row>
    <row r="712">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c r="AA712" s="25"/>
    </row>
    <row r="713">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c r="AA713" s="25"/>
    </row>
    <row r="714">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c r="AA714" s="25"/>
    </row>
    <row r="715">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c r="AA715" s="25"/>
    </row>
    <row r="716">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c r="AA716" s="25"/>
    </row>
    <row r="717">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c r="AA717" s="25"/>
    </row>
    <row r="718">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c r="AA718" s="25"/>
    </row>
    <row r="719">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c r="AA719" s="25"/>
    </row>
    <row r="720">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c r="AA720" s="25"/>
    </row>
    <row r="721">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c r="AA721" s="25"/>
    </row>
    <row r="722">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c r="AA722" s="25"/>
    </row>
    <row r="723">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c r="AA723" s="25"/>
    </row>
    <row r="724">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c r="AA724" s="25"/>
    </row>
    <row r="725">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c r="AA725" s="25"/>
    </row>
    <row r="726">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c r="AA726" s="25"/>
    </row>
    <row r="727">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c r="AA727" s="25"/>
    </row>
    <row r="728">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c r="AA728" s="25"/>
    </row>
    <row r="729">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c r="AA729" s="25"/>
    </row>
    <row r="730">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c r="AA730" s="25"/>
    </row>
    <row r="731">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c r="AA731" s="25"/>
    </row>
    <row r="732">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c r="AA732" s="25"/>
    </row>
    <row r="733">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c r="AA733" s="25"/>
    </row>
    <row r="734">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c r="AA734" s="25"/>
    </row>
    <row r="735">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c r="AA735" s="25"/>
    </row>
    <row r="736">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c r="AA736" s="25"/>
    </row>
    <row r="737">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c r="AA737" s="25"/>
    </row>
    <row r="738">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c r="AA738" s="25"/>
    </row>
    <row r="739">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c r="AA739" s="25"/>
    </row>
    <row r="740">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c r="AA740" s="25"/>
    </row>
    <row r="741">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c r="AA741" s="25"/>
    </row>
    <row r="742">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c r="AA742" s="25"/>
    </row>
    <row r="743">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c r="AA743" s="25"/>
    </row>
    <row r="744">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c r="AA744" s="25"/>
    </row>
    <row r="745">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c r="AA745" s="25"/>
    </row>
    <row r="746">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c r="AA746" s="25"/>
    </row>
    <row r="747">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c r="AA747" s="25"/>
    </row>
    <row r="748">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c r="AA748" s="25"/>
    </row>
    <row r="749">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c r="AA749" s="25"/>
    </row>
    <row r="750">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c r="AA750" s="25"/>
    </row>
    <row r="751">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c r="AA751" s="25"/>
    </row>
    <row r="752">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c r="AA752" s="25"/>
    </row>
    <row r="753">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c r="AA753" s="25"/>
    </row>
    <row r="754">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c r="AA754" s="25"/>
    </row>
    <row r="755">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c r="AA755" s="25"/>
    </row>
    <row r="756">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c r="AA756" s="25"/>
    </row>
    <row r="757">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c r="AA757" s="25"/>
    </row>
    <row r="758">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c r="AA758" s="25"/>
    </row>
    <row r="759">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c r="AA759" s="25"/>
    </row>
    <row r="760">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c r="AA760" s="25"/>
    </row>
    <row r="761">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c r="AA761" s="25"/>
    </row>
    <row r="762">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c r="AA762" s="25"/>
    </row>
    <row r="763">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c r="AA763" s="25"/>
    </row>
    <row r="764">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c r="AA764" s="25"/>
    </row>
    <row r="765">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c r="AA765" s="25"/>
    </row>
    <row r="766">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c r="AA766" s="25"/>
    </row>
    <row r="767">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c r="AA767" s="25"/>
    </row>
    <row r="768">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c r="AA768" s="25"/>
    </row>
    <row r="769">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c r="AA769" s="25"/>
    </row>
    <row r="770">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c r="AA770" s="25"/>
    </row>
    <row r="771">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c r="AA771" s="25"/>
    </row>
    <row r="772">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c r="AA772" s="25"/>
    </row>
    <row r="773">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c r="AA773" s="25"/>
    </row>
    <row r="774">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c r="AA774" s="25"/>
    </row>
    <row r="775">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c r="AA775" s="25"/>
    </row>
    <row r="776">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c r="AA776" s="25"/>
    </row>
    <row r="777">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c r="AA777" s="25"/>
    </row>
    <row r="778">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c r="AA778" s="25"/>
    </row>
    <row r="779">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c r="AA779" s="25"/>
    </row>
    <row r="780">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c r="AA780" s="25"/>
    </row>
    <row r="781">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c r="AA781" s="25"/>
    </row>
    <row r="782">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c r="AA782" s="25"/>
    </row>
    <row r="783">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c r="AA783" s="25"/>
    </row>
    <row r="784">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c r="AA784" s="25"/>
    </row>
    <row r="785">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c r="AA785" s="25"/>
    </row>
    <row r="786">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c r="AA786" s="25"/>
    </row>
    <row r="787">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c r="AA787" s="25"/>
    </row>
    <row r="788">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c r="AA788" s="25"/>
    </row>
    <row r="789">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c r="AA789" s="25"/>
    </row>
    <row r="790">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c r="AA790" s="25"/>
    </row>
    <row r="791">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c r="AA791" s="25"/>
    </row>
    <row r="792">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c r="AA792" s="25"/>
    </row>
    <row r="793">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c r="AA793" s="25"/>
    </row>
    <row r="794">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c r="AA794" s="25"/>
    </row>
    <row r="795">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c r="AA795" s="25"/>
    </row>
    <row r="796">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c r="AA796" s="25"/>
    </row>
    <row r="797">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c r="AA797" s="25"/>
    </row>
    <row r="798">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c r="AA798" s="25"/>
    </row>
    <row r="799">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c r="AA799" s="25"/>
    </row>
    <row r="800">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c r="AA800" s="25"/>
    </row>
    <row r="801">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c r="AA801" s="25"/>
    </row>
    <row r="802">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c r="AA802" s="25"/>
    </row>
    <row r="803">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c r="AA803" s="25"/>
    </row>
    <row r="804">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c r="AA804" s="25"/>
    </row>
    <row r="805">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c r="AA805" s="25"/>
    </row>
    <row r="806">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c r="AA806" s="25"/>
    </row>
    <row r="807">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c r="AA807" s="25"/>
    </row>
    <row r="808">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c r="AA808" s="25"/>
    </row>
    <row r="809">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c r="AA809" s="25"/>
    </row>
    <row r="810">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c r="AA810" s="25"/>
    </row>
    <row r="811">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c r="AA811" s="25"/>
    </row>
    <row r="812">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c r="AA812" s="25"/>
    </row>
    <row r="813">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c r="AA813" s="25"/>
    </row>
    <row r="814">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c r="AA814" s="25"/>
    </row>
    <row r="815">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c r="AA815" s="25"/>
    </row>
    <row r="816">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c r="AA816" s="25"/>
    </row>
    <row r="817">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c r="AA817" s="25"/>
    </row>
    <row r="818">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c r="AA818" s="25"/>
    </row>
    <row r="819">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c r="AA819" s="25"/>
    </row>
    <row r="820">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c r="AA820" s="25"/>
    </row>
    <row r="821">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c r="AA821" s="25"/>
    </row>
    <row r="822">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c r="AA822" s="25"/>
    </row>
    <row r="823">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c r="AA823" s="25"/>
    </row>
    <row r="824">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c r="AA824" s="25"/>
    </row>
    <row r="825">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c r="AA825" s="25"/>
    </row>
    <row r="826">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c r="AA826" s="25"/>
    </row>
    <row r="827">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c r="AA827" s="25"/>
    </row>
    <row r="828">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c r="AA828" s="25"/>
    </row>
    <row r="829">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c r="AA829" s="25"/>
    </row>
    <row r="830">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c r="AA830" s="25"/>
    </row>
    <row r="831">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c r="AA831" s="25"/>
    </row>
    <row r="832">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c r="AA832" s="25"/>
    </row>
    <row r="833">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c r="AA833" s="25"/>
    </row>
    <row r="834">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c r="AA834" s="25"/>
    </row>
    <row r="835">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c r="AA835" s="25"/>
    </row>
    <row r="836">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c r="AA836" s="25"/>
    </row>
    <row r="837">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c r="AA837" s="25"/>
    </row>
    <row r="838">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c r="AA838" s="25"/>
    </row>
    <row r="839">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c r="AA839" s="25"/>
    </row>
    <row r="840">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c r="AA840" s="25"/>
    </row>
    <row r="841">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c r="AA841" s="25"/>
    </row>
    <row r="842">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c r="AA842" s="25"/>
    </row>
    <row r="843">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c r="AA843" s="25"/>
    </row>
    <row r="844">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c r="AA844" s="25"/>
    </row>
    <row r="845">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c r="AA845" s="25"/>
    </row>
    <row r="846">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c r="AA846" s="25"/>
    </row>
    <row r="847">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c r="AA847" s="25"/>
    </row>
    <row r="848">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c r="AA848" s="25"/>
    </row>
    <row r="849">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c r="AA849" s="25"/>
    </row>
    <row r="850">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c r="AA850" s="25"/>
    </row>
    <row r="851">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c r="AA851" s="25"/>
    </row>
    <row r="852">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c r="AA852" s="25"/>
    </row>
    <row r="853">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c r="AA853" s="25"/>
    </row>
    <row r="854">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c r="AA854" s="25"/>
    </row>
    <row r="855">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c r="AA855" s="25"/>
    </row>
    <row r="856">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c r="AA856" s="25"/>
    </row>
    <row r="857">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c r="AA857" s="25"/>
    </row>
    <row r="858">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c r="AA858" s="25"/>
    </row>
    <row r="859">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c r="AA859" s="25"/>
    </row>
    <row r="860">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c r="AA860" s="25"/>
    </row>
    <row r="861">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c r="AA861" s="25"/>
    </row>
    <row r="862">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c r="AA862" s="25"/>
    </row>
    <row r="863">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c r="AA863" s="25"/>
    </row>
    <row r="864">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c r="AA864" s="25"/>
    </row>
    <row r="865">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c r="AA865" s="25"/>
    </row>
    <row r="866">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c r="AA866" s="25"/>
    </row>
    <row r="867">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c r="AA867" s="25"/>
    </row>
    <row r="868">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c r="AA868" s="25"/>
    </row>
    <row r="869">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c r="AA869" s="25"/>
    </row>
    <row r="870">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c r="AA870" s="25"/>
    </row>
    <row r="871">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c r="AA871" s="25"/>
    </row>
    <row r="872">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c r="AA872" s="25"/>
    </row>
    <row r="873">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c r="AA873" s="25"/>
    </row>
    <row r="874">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c r="AA874" s="25"/>
    </row>
    <row r="875">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c r="AA875" s="25"/>
    </row>
    <row r="876">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c r="AA876" s="25"/>
    </row>
    <row r="877">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c r="AA877" s="25"/>
    </row>
    <row r="878">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c r="AA878" s="25"/>
    </row>
    <row r="879">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c r="AA879" s="25"/>
    </row>
    <row r="880">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c r="AA880" s="25"/>
    </row>
    <row r="881">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c r="AA881" s="25"/>
    </row>
    <row r="882">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c r="AA882" s="25"/>
    </row>
    <row r="883">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c r="AA883" s="25"/>
    </row>
    <row r="884">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c r="AA884" s="25"/>
    </row>
    <row r="885">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c r="AA885" s="25"/>
    </row>
    <row r="886">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c r="AA886" s="25"/>
    </row>
    <row r="887">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c r="AA887" s="25"/>
    </row>
    <row r="888">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c r="AA888" s="25"/>
    </row>
    <row r="889">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c r="AA889" s="25"/>
    </row>
    <row r="890">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c r="AA890" s="25"/>
    </row>
    <row r="891">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c r="AA891" s="25"/>
    </row>
    <row r="892">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c r="AA892" s="25"/>
    </row>
    <row r="893">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c r="AA893" s="25"/>
    </row>
    <row r="894">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c r="AA894" s="25"/>
    </row>
    <row r="895">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c r="AA895" s="25"/>
    </row>
    <row r="896">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c r="AA896" s="25"/>
    </row>
    <row r="897">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c r="AA897" s="25"/>
    </row>
    <row r="898">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c r="AA898" s="25"/>
    </row>
    <row r="899">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c r="AA899" s="25"/>
    </row>
    <row r="900">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c r="AA900" s="25"/>
    </row>
    <row r="901">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c r="AA901" s="25"/>
    </row>
    <row r="902">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c r="AA902" s="25"/>
    </row>
    <row r="903">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c r="AA903" s="25"/>
    </row>
    <row r="904">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c r="AA904" s="25"/>
    </row>
    <row r="905">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c r="AA905" s="25"/>
    </row>
    <row r="906">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c r="AA906" s="25"/>
    </row>
    <row r="907">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c r="AA907" s="25"/>
    </row>
    <row r="908">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c r="AA908" s="25"/>
    </row>
    <row r="909">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c r="AA909" s="25"/>
    </row>
    <row r="910">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c r="AA910" s="25"/>
    </row>
    <row r="911">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c r="AA911" s="25"/>
    </row>
    <row r="912">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c r="AA912" s="25"/>
    </row>
    <row r="913">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c r="AA913" s="25"/>
    </row>
    <row r="914">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c r="AA914" s="25"/>
    </row>
    <row r="915">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c r="AA915" s="25"/>
    </row>
    <row r="916">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c r="AA916" s="25"/>
    </row>
    <row r="917">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c r="AA917" s="25"/>
    </row>
    <row r="918">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c r="AA918" s="25"/>
    </row>
    <row r="919">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c r="AA919" s="25"/>
    </row>
    <row r="920">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c r="AA920" s="25"/>
    </row>
    <row r="921">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c r="AA921" s="25"/>
    </row>
    <row r="922">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c r="AA922" s="25"/>
    </row>
    <row r="923">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c r="AA923" s="25"/>
    </row>
    <row r="924">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c r="AA924" s="25"/>
    </row>
    <row r="925">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c r="AA925" s="25"/>
    </row>
    <row r="926">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c r="AA926" s="25"/>
    </row>
    <row r="927">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c r="AA927" s="25"/>
    </row>
    <row r="928">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c r="AA928" s="25"/>
    </row>
    <row r="929">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c r="AA929" s="25"/>
    </row>
    <row r="930">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c r="AA930" s="25"/>
    </row>
    <row r="931">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c r="AA931" s="25"/>
    </row>
    <row r="932">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c r="AA932" s="25"/>
    </row>
    <row r="933">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c r="AA933" s="25"/>
    </row>
    <row r="934">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c r="AA934" s="25"/>
    </row>
    <row r="935">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c r="AA935" s="25"/>
    </row>
    <row r="936">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c r="AA936" s="25"/>
    </row>
    <row r="937">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c r="AA937" s="25"/>
    </row>
    <row r="938">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c r="AA938" s="25"/>
    </row>
    <row r="939">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c r="AA939" s="25"/>
    </row>
    <row r="940">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c r="AA940" s="25"/>
    </row>
    <row r="941">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c r="AA941" s="25"/>
    </row>
    <row r="942">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c r="AA942" s="25"/>
    </row>
    <row r="943">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c r="AA943" s="25"/>
    </row>
    <row r="944">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c r="AA944" s="25"/>
    </row>
    <row r="945">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c r="AA945" s="25"/>
    </row>
    <row r="946">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c r="AA946" s="25"/>
    </row>
    <row r="947">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c r="AA947" s="25"/>
    </row>
    <row r="948">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c r="AA948" s="25"/>
    </row>
    <row r="949">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c r="AA949" s="25"/>
    </row>
    <row r="950">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c r="AA950" s="25"/>
    </row>
    <row r="951">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c r="AA951" s="25"/>
    </row>
    <row r="952">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c r="AA952" s="25"/>
    </row>
    <row r="953">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c r="AA953" s="25"/>
    </row>
    <row r="954">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c r="AA954" s="25"/>
    </row>
    <row r="955">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c r="AA955" s="25"/>
    </row>
    <row r="956">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c r="AA956" s="25"/>
    </row>
    <row r="957">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c r="AA957" s="25"/>
    </row>
    <row r="958">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c r="AA958" s="25"/>
    </row>
    <row r="959">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c r="AA959" s="25"/>
    </row>
    <row r="960">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c r="AA960" s="25"/>
    </row>
    <row r="961">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c r="AA961" s="25"/>
    </row>
    <row r="962">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c r="AA962" s="25"/>
    </row>
    <row r="963">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c r="AA963" s="25"/>
    </row>
    <row r="964">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c r="AA964" s="25"/>
    </row>
    <row r="965">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c r="AA965" s="25"/>
    </row>
    <row r="966">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c r="AA966" s="25"/>
    </row>
    <row r="967">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c r="AA967" s="25"/>
    </row>
    <row r="968">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c r="AA968" s="25"/>
    </row>
    <row r="969">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c r="AA969" s="25"/>
    </row>
    <row r="970">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c r="AA970" s="25"/>
    </row>
    <row r="971">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c r="AA971" s="25"/>
    </row>
    <row r="972">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c r="AA972" s="25"/>
    </row>
    <row r="973">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c r="AA973" s="25"/>
    </row>
    <row r="974">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c r="AA974" s="25"/>
    </row>
    <row r="975">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c r="AA975" s="25"/>
    </row>
    <row r="976">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c r="AA976" s="25"/>
    </row>
    <row r="977">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c r="AA977" s="25"/>
    </row>
    <row r="978">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c r="AA978" s="25"/>
    </row>
    <row r="979">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c r="AA979" s="25"/>
    </row>
    <row r="980">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c r="AA980" s="25"/>
    </row>
    <row r="981">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c r="AA981" s="25"/>
    </row>
    <row r="982">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c r="AA982" s="25"/>
    </row>
    <row r="983">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c r="AA983" s="25"/>
    </row>
    <row r="984">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c r="AA984" s="25"/>
    </row>
    <row r="985">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c r="AA985" s="25"/>
    </row>
    <row r="986">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c r="AA986" s="25"/>
    </row>
    <row r="987">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c r="AA987" s="25"/>
    </row>
    <row r="988">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c r="AA988" s="25"/>
    </row>
    <row r="989">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c r="AA989" s="25"/>
    </row>
    <row r="990">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c r="AA990" s="25"/>
    </row>
    <row r="991">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c r="AA991" s="25"/>
    </row>
    <row r="992">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c r="AA992" s="25"/>
    </row>
    <row r="993">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c r="AA993" s="25"/>
    </row>
    <row r="994">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c r="AA994" s="25"/>
    </row>
    <row r="995">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c r="AA995" s="25"/>
    </row>
    <row r="996">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c r="AA996" s="25"/>
    </row>
    <row r="997">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c r="AA997" s="25"/>
    </row>
    <row r="998">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c r="AA998" s="25"/>
    </row>
    <row r="999">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c r="AA999" s="25"/>
    </row>
    <row r="1000">
      <c r="A1000" s="25"/>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c r="AA1000" s="25"/>
    </row>
    <row r="1001">
      <c r="A1001" s="25"/>
      <c r="B1001" s="25"/>
      <c r="C1001" s="25"/>
      <c r="D1001" s="25"/>
      <c r="E1001" s="25"/>
      <c r="F1001" s="25"/>
      <c r="G1001" s="25"/>
      <c r="H1001" s="25"/>
      <c r="I1001" s="25"/>
      <c r="J1001" s="25"/>
      <c r="K1001" s="25"/>
      <c r="L1001" s="25"/>
      <c r="M1001" s="25"/>
      <c r="N1001" s="25"/>
      <c r="O1001" s="25"/>
      <c r="P1001" s="25"/>
      <c r="Q1001" s="25"/>
      <c r="R1001" s="25"/>
      <c r="S1001" s="25"/>
      <c r="T1001" s="25"/>
      <c r="U1001" s="25"/>
      <c r="V1001" s="25"/>
      <c r="W1001" s="25"/>
      <c r="X1001" s="25"/>
      <c r="Y1001" s="25"/>
      <c r="Z1001" s="25"/>
      <c r="AA1001" s="25"/>
    </row>
    <row r="1002">
      <c r="A1002" s="25"/>
      <c r="B1002" s="25"/>
      <c r="C1002" s="25"/>
      <c r="D1002" s="25"/>
      <c r="E1002" s="25"/>
      <c r="F1002" s="25"/>
      <c r="G1002" s="25"/>
      <c r="H1002" s="25"/>
      <c r="I1002" s="25"/>
      <c r="J1002" s="25"/>
      <c r="K1002" s="25"/>
      <c r="L1002" s="25"/>
      <c r="M1002" s="25"/>
      <c r="N1002" s="25"/>
      <c r="O1002" s="25"/>
      <c r="P1002" s="25"/>
      <c r="Q1002" s="25"/>
      <c r="R1002" s="25"/>
      <c r="S1002" s="25"/>
      <c r="T1002" s="25"/>
      <c r="U1002" s="25"/>
      <c r="V1002" s="25"/>
      <c r="W1002" s="25"/>
      <c r="X1002" s="25"/>
      <c r="Y1002" s="25"/>
      <c r="Z1002" s="25"/>
      <c r="AA1002" s="25"/>
    </row>
    <row r="1003">
      <c r="A1003" s="25"/>
      <c r="B1003" s="25"/>
      <c r="C1003" s="25"/>
      <c r="D1003" s="25"/>
      <c r="E1003" s="25"/>
      <c r="F1003" s="25"/>
      <c r="G1003" s="25"/>
      <c r="H1003" s="25"/>
      <c r="I1003" s="25"/>
      <c r="J1003" s="25"/>
      <c r="K1003" s="25"/>
      <c r="L1003" s="25"/>
      <c r="M1003" s="25"/>
      <c r="N1003" s="25"/>
      <c r="O1003" s="25"/>
      <c r="P1003" s="25"/>
      <c r="Q1003" s="25"/>
      <c r="R1003" s="25"/>
      <c r="S1003" s="25"/>
      <c r="T1003" s="25"/>
      <c r="U1003" s="25"/>
      <c r="V1003" s="25"/>
      <c r="W1003" s="25"/>
      <c r="X1003" s="25"/>
      <c r="Y1003" s="25"/>
      <c r="Z1003" s="25"/>
      <c r="AA1003" s="25"/>
    </row>
    <row r="1004">
      <c r="A1004" s="25"/>
      <c r="B1004" s="25"/>
      <c r="C1004" s="25"/>
      <c r="D1004" s="25"/>
      <c r="E1004" s="25"/>
      <c r="F1004" s="25"/>
      <c r="G1004" s="25"/>
      <c r="H1004" s="25"/>
      <c r="I1004" s="25"/>
      <c r="J1004" s="25"/>
      <c r="K1004" s="25"/>
      <c r="L1004" s="25"/>
      <c r="M1004" s="25"/>
      <c r="N1004" s="25"/>
      <c r="O1004" s="25"/>
      <c r="P1004" s="25"/>
      <c r="Q1004" s="25"/>
      <c r="R1004" s="25"/>
      <c r="S1004" s="25"/>
      <c r="T1004" s="25"/>
      <c r="U1004" s="25"/>
      <c r="V1004" s="25"/>
      <c r="W1004" s="25"/>
      <c r="X1004" s="25"/>
      <c r="Y1004" s="25"/>
      <c r="Z1004" s="25"/>
      <c r="AA1004" s="25"/>
    </row>
    <row r="1005">
      <c r="A1005" s="25"/>
      <c r="B1005" s="25"/>
      <c r="C1005" s="25"/>
      <c r="D1005" s="25"/>
      <c r="E1005" s="25"/>
      <c r="F1005" s="25"/>
      <c r="G1005" s="25"/>
      <c r="H1005" s="25"/>
      <c r="I1005" s="25"/>
      <c r="J1005" s="25"/>
      <c r="K1005" s="25"/>
      <c r="L1005" s="25"/>
      <c r="M1005" s="25"/>
      <c r="N1005" s="25"/>
      <c r="O1005" s="25"/>
      <c r="P1005" s="25"/>
      <c r="Q1005" s="25"/>
      <c r="R1005" s="25"/>
      <c r="S1005" s="25"/>
      <c r="T1005" s="25"/>
      <c r="U1005" s="25"/>
      <c r="V1005" s="25"/>
      <c r="W1005" s="25"/>
      <c r="X1005" s="25"/>
      <c r="Y1005" s="25"/>
      <c r="Z1005" s="25"/>
      <c r="AA1005" s="25"/>
    </row>
    <row r="1006">
      <c r="A1006" s="25"/>
      <c r="B1006" s="25"/>
      <c r="C1006" s="25"/>
      <c r="D1006" s="25"/>
      <c r="E1006" s="25"/>
      <c r="F1006" s="25"/>
      <c r="G1006" s="25"/>
      <c r="H1006" s="25"/>
      <c r="I1006" s="25"/>
      <c r="J1006" s="25"/>
      <c r="K1006" s="25"/>
      <c r="L1006" s="25"/>
      <c r="M1006" s="25"/>
      <c r="N1006" s="25"/>
      <c r="O1006" s="25"/>
      <c r="P1006" s="25"/>
      <c r="Q1006" s="25"/>
      <c r="R1006" s="25"/>
      <c r="S1006" s="25"/>
      <c r="T1006" s="25"/>
      <c r="U1006" s="25"/>
      <c r="V1006" s="25"/>
      <c r="W1006" s="25"/>
      <c r="X1006" s="25"/>
      <c r="Y1006" s="25"/>
      <c r="Z1006" s="25"/>
      <c r="AA1006" s="25"/>
    </row>
    <row r="1007">
      <c r="A1007" s="25"/>
      <c r="B1007" s="25"/>
      <c r="C1007" s="25"/>
      <c r="D1007" s="25"/>
      <c r="E1007" s="25"/>
      <c r="F1007" s="25"/>
      <c r="G1007" s="25"/>
      <c r="H1007" s="25"/>
      <c r="I1007" s="25"/>
      <c r="J1007" s="25"/>
      <c r="K1007" s="25"/>
      <c r="L1007" s="25"/>
      <c r="M1007" s="25"/>
      <c r="N1007" s="25"/>
      <c r="O1007" s="25"/>
      <c r="P1007" s="25"/>
      <c r="Q1007" s="25"/>
      <c r="R1007" s="25"/>
      <c r="S1007" s="25"/>
      <c r="T1007" s="25"/>
      <c r="U1007" s="25"/>
      <c r="V1007" s="25"/>
      <c r="W1007" s="25"/>
      <c r="X1007" s="25"/>
      <c r="Y1007" s="25"/>
      <c r="Z1007" s="25"/>
      <c r="AA1007" s="25"/>
    </row>
    <row r="1008">
      <c r="A1008" s="25"/>
      <c r="B1008" s="25"/>
      <c r="C1008" s="25"/>
      <c r="D1008" s="25"/>
      <c r="E1008" s="25"/>
      <c r="F1008" s="25"/>
      <c r="G1008" s="25"/>
      <c r="H1008" s="25"/>
      <c r="I1008" s="25"/>
      <c r="J1008" s="25"/>
      <c r="K1008" s="25"/>
      <c r="L1008" s="25"/>
      <c r="M1008" s="25"/>
      <c r="N1008" s="25"/>
      <c r="O1008" s="25"/>
      <c r="P1008" s="25"/>
      <c r="Q1008" s="25"/>
      <c r="R1008" s="25"/>
      <c r="S1008" s="25"/>
      <c r="T1008" s="25"/>
      <c r="U1008" s="25"/>
      <c r="V1008" s="25"/>
      <c r="W1008" s="25"/>
      <c r="X1008" s="25"/>
      <c r="Y1008" s="25"/>
      <c r="Z1008" s="25"/>
      <c r="AA1008" s="25"/>
    </row>
    <row r="1009">
      <c r="A1009" s="25"/>
      <c r="B1009" s="25"/>
      <c r="C1009" s="25"/>
      <c r="D1009" s="25"/>
      <c r="E1009" s="25"/>
      <c r="F1009" s="25"/>
      <c r="G1009" s="25"/>
      <c r="H1009" s="25"/>
      <c r="I1009" s="25"/>
      <c r="J1009" s="25"/>
      <c r="K1009" s="25"/>
      <c r="L1009" s="25"/>
      <c r="M1009" s="25"/>
      <c r="N1009" s="25"/>
      <c r="O1009" s="25"/>
      <c r="P1009" s="25"/>
      <c r="Q1009" s="25"/>
      <c r="R1009" s="25"/>
      <c r="S1009" s="25"/>
      <c r="T1009" s="25"/>
      <c r="U1009" s="25"/>
      <c r="V1009" s="25"/>
      <c r="W1009" s="25"/>
      <c r="X1009" s="25"/>
      <c r="Y1009" s="25"/>
      <c r="Z1009" s="25"/>
      <c r="AA1009" s="25"/>
    </row>
    <row r="1010">
      <c r="A1010" s="25"/>
      <c r="B1010" s="25"/>
      <c r="C1010" s="25"/>
      <c r="D1010" s="25"/>
      <c r="E1010" s="25"/>
      <c r="F1010" s="25"/>
      <c r="G1010" s="25"/>
      <c r="H1010" s="25"/>
      <c r="I1010" s="25"/>
      <c r="J1010" s="25"/>
      <c r="K1010" s="25"/>
      <c r="L1010" s="25"/>
      <c r="M1010" s="25"/>
      <c r="N1010" s="25"/>
      <c r="O1010" s="25"/>
      <c r="P1010" s="25"/>
      <c r="Q1010" s="25"/>
      <c r="R1010" s="25"/>
      <c r="S1010" s="25"/>
      <c r="T1010" s="25"/>
      <c r="U1010" s="25"/>
      <c r="V1010" s="25"/>
      <c r="W1010" s="25"/>
      <c r="X1010" s="25"/>
      <c r="Y1010" s="25"/>
      <c r="Z1010" s="25"/>
      <c r="AA1010" s="25"/>
    </row>
    <row r="1011">
      <c r="A1011" s="25"/>
      <c r="B1011" s="25"/>
      <c r="C1011" s="25"/>
      <c r="D1011" s="25"/>
      <c r="E1011" s="25"/>
      <c r="F1011" s="25"/>
      <c r="G1011" s="25"/>
      <c r="H1011" s="25"/>
      <c r="I1011" s="25"/>
      <c r="J1011" s="25"/>
      <c r="K1011" s="25"/>
      <c r="L1011" s="25"/>
      <c r="M1011" s="25"/>
      <c r="N1011" s="25"/>
      <c r="O1011" s="25"/>
      <c r="P1011" s="25"/>
      <c r="Q1011" s="25"/>
      <c r="R1011" s="25"/>
      <c r="S1011" s="25"/>
      <c r="T1011" s="25"/>
      <c r="U1011" s="25"/>
      <c r="V1011" s="25"/>
      <c r="W1011" s="25"/>
      <c r="X1011" s="25"/>
      <c r="Y1011" s="25"/>
      <c r="Z1011" s="25"/>
      <c r="AA1011" s="25"/>
    </row>
    <row r="1012">
      <c r="A1012" s="25"/>
      <c r="B1012" s="25"/>
      <c r="C1012" s="25"/>
      <c r="D1012" s="25"/>
      <c r="E1012" s="25"/>
      <c r="F1012" s="25"/>
      <c r="G1012" s="25"/>
      <c r="H1012" s="25"/>
      <c r="I1012" s="25"/>
      <c r="J1012" s="25"/>
      <c r="K1012" s="25"/>
      <c r="L1012" s="25"/>
      <c r="M1012" s="25"/>
      <c r="N1012" s="25"/>
      <c r="O1012" s="25"/>
      <c r="P1012" s="25"/>
      <c r="Q1012" s="25"/>
      <c r="R1012" s="25"/>
      <c r="S1012" s="25"/>
      <c r="T1012" s="25"/>
      <c r="U1012" s="25"/>
      <c r="V1012" s="25"/>
      <c r="W1012" s="25"/>
      <c r="X1012" s="25"/>
      <c r="Y1012" s="25"/>
      <c r="Z1012" s="25"/>
      <c r="AA1012" s="25"/>
    </row>
    <row r="1013">
      <c r="A1013" s="25"/>
      <c r="B1013" s="25"/>
      <c r="C1013" s="25"/>
      <c r="D1013" s="25"/>
      <c r="E1013" s="25"/>
      <c r="F1013" s="25"/>
      <c r="G1013" s="25"/>
      <c r="H1013" s="25"/>
      <c r="I1013" s="25"/>
      <c r="J1013" s="25"/>
      <c r="K1013" s="25"/>
      <c r="L1013" s="25"/>
      <c r="M1013" s="25"/>
      <c r="N1013" s="25"/>
      <c r="O1013" s="25"/>
      <c r="P1013" s="25"/>
      <c r="Q1013" s="25"/>
      <c r="R1013" s="25"/>
      <c r="S1013" s="25"/>
      <c r="T1013" s="25"/>
      <c r="U1013" s="25"/>
      <c r="V1013" s="25"/>
      <c r="W1013" s="25"/>
      <c r="X1013" s="25"/>
      <c r="Y1013" s="25"/>
      <c r="Z1013" s="25"/>
      <c r="AA1013" s="25"/>
    </row>
    <row r="1014">
      <c r="A1014" s="25"/>
      <c r="B1014" s="25"/>
      <c r="C1014" s="25"/>
      <c r="D1014" s="25"/>
      <c r="E1014" s="25"/>
      <c r="F1014" s="25"/>
      <c r="G1014" s="25"/>
      <c r="H1014" s="25"/>
      <c r="I1014" s="25"/>
      <c r="J1014" s="25"/>
      <c r="K1014" s="25"/>
      <c r="L1014" s="25"/>
      <c r="M1014" s="25"/>
      <c r="N1014" s="25"/>
      <c r="O1014" s="25"/>
      <c r="P1014" s="25"/>
      <c r="Q1014" s="25"/>
      <c r="R1014" s="25"/>
      <c r="S1014" s="25"/>
      <c r="T1014" s="25"/>
      <c r="U1014" s="25"/>
      <c r="V1014" s="25"/>
      <c r="W1014" s="25"/>
      <c r="X1014" s="25"/>
      <c r="Y1014" s="25"/>
      <c r="Z1014" s="25"/>
      <c r="AA1014" s="25"/>
    </row>
    <row r="1015">
      <c r="A1015" s="25"/>
      <c r="B1015" s="25"/>
      <c r="C1015" s="25"/>
      <c r="D1015" s="25"/>
      <c r="E1015" s="25"/>
      <c r="F1015" s="25"/>
      <c r="G1015" s="25"/>
      <c r="H1015" s="25"/>
      <c r="I1015" s="25"/>
      <c r="J1015" s="25"/>
      <c r="K1015" s="25"/>
      <c r="L1015" s="25"/>
      <c r="M1015" s="25"/>
      <c r="N1015" s="25"/>
      <c r="O1015" s="25"/>
      <c r="P1015" s="25"/>
      <c r="Q1015" s="25"/>
      <c r="R1015" s="25"/>
      <c r="S1015" s="25"/>
      <c r="T1015" s="25"/>
      <c r="U1015" s="25"/>
      <c r="V1015" s="25"/>
      <c r="W1015" s="25"/>
      <c r="X1015" s="25"/>
      <c r="Y1015" s="25"/>
      <c r="Z1015" s="25"/>
      <c r="AA1015" s="25"/>
    </row>
    <row r="1016">
      <c r="A1016" s="25"/>
      <c r="B1016" s="25"/>
      <c r="C1016" s="25"/>
      <c r="D1016" s="25"/>
      <c r="E1016" s="25"/>
      <c r="F1016" s="25"/>
      <c r="G1016" s="25"/>
      <c r="H1016" s="25"/>
      <c r="I1016" s="25"/>
      <c r="J1016" s="25"/>
      <c r="K1016" s="25"/>
      <c r="L1016" s="25"/>
      <c r="M1016" s="25"/>
      <c r="N1016" s="25"/>
      <c r="O1016" s="25"/>
      <c r="P1016" s="25"/>
      <c r="Q1016" s="25"/>
      <c r="R1016" s="25"/>
      <c r="S1016" s="25"/>
      <c r="T1016" s="25"/>
      <c r="U1016" s="25"/>
      <c r="V1016" s="25"/>
      <c r="W1016" s="25"/>
      <c r="X1016" s="25"/>
      <c r="Y1016" s="25"/>
      <c r="Z1016" s="25"/>
      <c r="AA1016" s="25"/>
    </row>
    <row r="1017">
      <c r="A1017" s="25"/>
      <c r="B1017" s="25"/>
      <c r="C1017" s="25"/>
      <c r="D1017" s="25"/>
      <c r="E1017" s="25"/>
      <c r="F1017" s="25"/>
      <c r="G1017" s="25"/>
      <c r="H1017" s="25"/>
      <c r="I1017" s="25"/>
      <c r="J1017" s="25"/>
      <c r="K1017" s="25"/>
      <c r="L1017" s="25"/>
      <c r="M1017" s="25"/>
      <c r="N1017" s="25"/>
      <c r="O1017" s="25"/>
      <c r="P1017" s="25"/>
      <c r="Q1017" s="25"/>
      <c r="R1017" s="25"/>
      <c r="S1017" s="25"/>
      <c r="T1017" s="25"/>
      <c r="U1017" s="25"/>
      <c r="V1017" s="25"/>
      <c r="W1017" s="25"/>
      <c r="X1017" s="25"/>
      <c r="Y1017" s="25"/>
      <c r="Z1017" s="25"/>
      <c r="AA1017" s="25"/>
    </row>
    <row r="1018">
      <c r="A1018" s="25"/>
      <c r="B1018" s="25"/>
      <c r="C1018" s="25"/>
      <c r="D1018" s="25"/>
      <c r="E1018" s="25"/>
      <c r="F1018" s="25"/>
      <c r="G1018" s="25"/>
      <c r="H1018" s="25"/>
      <c r="I1018" s="25"/>
      <c r="J1018" s="25"/>
      <c r="K1018" s="25"/>
      <c r="L1018" s="25"/>
      <c r="M1018" s="25"/>
      <c r="N1018" s="25"/>
      <c r="O1018" s="25"/>
      <c r="P1018" s="25"/>
      <c r="Q1018" s="25"/>
      <c r="R1018" s="25"/>
      <c r="S1018" s="25"/>
      <c r="T1018" s="25"/>
      <c r="U1018" s="25"/>
      <c r="V1018" s="25"/>
      <c r="W1018" s="25"/>
      <c r="X1018" s="25"/>
      <c r="Y1018" s="25"/>
      <c r="Z1018" s="25"/>
      <c r="AA1018" s="25"/>
    </row>
    <row r="1019">
      <c r="A1019" s="25"/>
      <c r="B1019" s="25"/>
      <c r="C1019" s="25"/>
      <c r="D1019" s="25"/>
      <c r="E1019" s="25"/>
      <c r="F1019" s="25"/>
      <c r="G1019" s="25"/>
      <c r="H1019" s="25"/>
      <c r="I1019" s="25"/>
      <c r="J1019" s="25"/>
      <c r="K1019" s="25"/>
      <c r="L1019" s="25"/>
      <c r="M1019" s="25"/>
      <c r="N1019" s="25"/>
      <c r="O1019" s="25"/>
      <c r="P1019" s="25"/>
      <c r="Q1019" s="25"/>
      <c r="R1019" s="25"/>
      <c r="S1019" s="25"/>
      <c r="T1019" s="25"/>
      <c r="U1019" s="25"/>
      <c r="V1019" s="25"/>
      <c r="W1019" s="25"/>
      <c r="X1019" s="25"/>
      <c r="Y1019" s="25"/>
      <c r="Z1019" s="25"/>
      <c r="AA1019" s="25"/>
    </row>
    <row r="1020">
      <c r="A1020" s="25"/>
      <c r="B1020" s="25"/>
      <c r="C1020" s="25"/>
      <c r="D1020" s="25"/>
      <c r="E1020" s="25"/>
      <c r="F1020" s="25"/>
      <c r="G1020" s="25"/>
      <c r="H1020" s="25"/>
      <c r="I1020" s="25"/>
      <c r="J1020" s="25"/>
      <c r="K1020" s="25"/>
      <c r="L1020" s="25"/>
      <c r="M1020" s="25"/>
      <c r="N1020" s="25"/>
      <c r="O1020" s="25"/>
      <c r="P1020" s="25"/>
      <c r="Q1020" s="25"/>
      <c r="R1020" s="25"/>
      <c r="S1020" s="25"/>
      <c r="T1020" s="25"/>
      <c r="U1020" s="25"/>
      <c r="V1020" s="25"/>
      <c r="W1020" s="25"/>
      <c r="X1020" s="25"/>
      <c r="Y1020" s="25"/>
      <c r="Z1020" s="25"/>
      <c r="AA1020" s="25"/>
    </row>
    <row r="1021">
      <c r="A1021" s="25"/>
      <c r="B1021" s="25"/>
      <c r="C1021" s="25"/>
      <c r="D1021" s="25"/>
      <c r="E1021" s="25"/>
      <c r="F1021" s="25"/>
      <c r="G1021" s="25"/>
      <c r="H1021" s="25"/>
      <c r="I1021" s="25"/>
      <c r="J1021" s="25"/>
      <c r="K1021" s="25"/>
      <c r="L1021" s="25"/>
      <c r="M1021" s="25"/>
      <c r="N1021" s="25"/>
      <c r="O1021" s="25"/>
      <c r="P1021" s="25"/>
      <c r="Q1021" s="25"/>
      <c r="R1021" s="25"/>
      <c r="S1021" s="25"/>
      <c r="T1021" s="25"/>
      <c r="U1021" s="25"/>
      <c r="V1021" s="25"/>
      <c r="W1021" s="25"/>
      <c r="X1021" s="25"/>
      <c r="Y1021" s="25"/>
      <c r="Z1021" s="25"/>
      <c r="AA1021" s="25"/>
    </row>
    <row r="1022">
      <c r="A1022" s="25"/>
      <c r="B1022" s="25"/>
      <c r="C1022" s="25"/>
      <c r="D1022" s="25"/>
      <c r="E1022" s="25"/>
      <c r="F1022" s="25"/>
      <c r="G1022" s="25"/>
      <c r="H1022" s="25"/>
      <c r="I1022" s="25"/>
      <c r="J1022" s="25"/>
      <c r="K1022" s="25"/>
      <c r="L1022" s="25"/>
      <c r="M1022" s="25"/>
      <c r="N1022" s="25"/>
      <c r="O1022" s="25"/>
      <c r="P1022" s="25"/>
      <c r="Q1022" s="25"/>
      <c r="R1022" s="25"/>
      <c r="S1022" s="25"/>
      <c r="T1022" s="25"/>
      <c r="U1022" s="25"/>
      <c r="V1022" s="25"/>
      <c r="W1022" s="25"/>
      <c r="X1022" s="25"/>
      <c r="Y1022" s="25"/>
      <c r="Z1022" s="25"/>
      <c r="AA1022" s="25"/>
    </row>
    <row r="1023">
      <c r="A1023" s="25"/>
      <c r="B1023" s="25"/>
      <c r="C1023" s="25"/>
      <c r="D1023" s="25"/>
      <c r="E1023" s="25"/>
      <c r="F1023" s="25"/>
      <c r="G1023" s="25"/>
      <c r="H1023" s="25"/>
      <c r="I1023" s="25"/>
      <c r="J1023" s="25"/>
      <c r="K1023" s="25"/>
      <c r="L1023" s="25"/>
      <c r="M1023" s="25"/>
      <c r="N1023" s="25"/>
      <c r="O1023" s="25"/>
      <c r="P1023" s="25"/>
      <c r="Q1023" s="25"/>
      <c r="R1023" s="25"/>
      <c r="S1023" s="25"/>
      <c r="T1023" s="25"/>
      <c r="U1023" s="25"/>
      <c r="V1023" s="25"/>
      <c r="W1023" s="25"/>
      <c r="X1023" s="25"/>
      <c r="Y1023" s="25"/>
      <c r="Z1023" s="25"/>
      <c r="AA1023" s="25"/>
    </row>
    <row r="1024">
      <c r="A1024" s="25"/>
      <c r="B1024" s="25"/>
      <c r="C1024" s="25"/>
      <c r="D1024" s="25"/>
      <c r="E1024" s="25"/>
      <c r="F1024" s="25"/>
      <c r="G1024" s="25"/>
      <c r="H1024" s="25"/>
      <c r="I1024" s="25"/>
      <c r="J1024" s="25"/>
      <c r="K1024" s="25"/>
      <c r="L1024" s="25"/>
      <c r="M1024" s="25"/>
      <c r="N1024" s="25"/>
      <c r="O1024" s="25"/>
      <c r="P1024" s="25"/>
      <c r="Q1024" s="25"/>
      <c r="R1024" s="25"/>
      <c r="S1024" s="25"/>
      <c r="T1024" s="25"/>
      <c r="U1024" s="25"/>
      <c r="V1024" s="25"/>
      <c r="W1024" s="25"/>
      <c r="X1024" s="25"/>
      <c r="Y1024" s="25"/>
      <c r="Z1024" s="25"/>
      <c r="AA1024" s="25"/>
    </row>
    <row r="1025">
      <c r="A1025" s="25"/>
      <c r="B1025" s="25"/>
      <c r="C1025" s="25"/>
      <c r="D1025" s="25"/>
      <c r="E1025" s="25"/>
      <c r="F1025" s="25"/>
      <c r="G1025" s="25"/>
      <c r="H1025" s="25"/>
      <c r="I1025" s="25"/>
      <c r="J1025" s="25"/>
      <c r="K1025" s="25"/>
      <c r="L1025" s="25"/>
      <c r="M1025" s="25"/>
      <c r="N1025" s="25"/>
      <c r="O1025" s="25"/>
      <c r="P1025" s="25"/>
      <c r="Q1025" s="25"/>
      <c r="R1025" s="25"/>
      <c r="S1025" s="25"/>
      <c r="T1025" s="25"/>
      <c r="U1025" s="25"/>
      <c r="V1025" s="25"/>
      <c r="W1025" s="25"/>
      <c r="X1025" s="25"/>
      <c r="Y1025" s="25"/>
      <c r="Z1025" s="25"/>
      <c r="AA1025" s="25"/>
    </row>
    <row r="1026">
      <c r="A1026" s="25"/>
      <c r="B1026" s="25"/>
      <c r="C1026" s="25"/>
      <c r="D1026" s="25"/>
      <c r="E1026" s="25"/>
      <c r="F1026" s="25"/>
      <c r="G1026" s="25"/>
      <c r="H1026" s="25"/>
      <c r="I1026" s="25"/>
      <c r="J1026" s="25"/>
      <c r="K1026" s="25"/>
      <c r="L1026" s="25"/>
      <c r="M1026" s="25"/>
      <c r="N1026" s="25"/>
      <c r="O1026" s="25"/>
      <c r="P1026" s="25"/>
      <c r="Q1026" s="25"/>
      <c r="R1026" s="25"/>
      <c r="S1026" s="25"/>
      <c r="T1026" s="25"/>
      <c r="U1026" s="25"/>
      <c r="V1026" s="25"/>
      <c r="W1026" s="25"/>
      <c r="X1026" s="25"/>
      <c r="Y1026" s="25"/>
      <c r="Z1026" s="25"/>
      <c r="AA1026" s="25"/>
    </row>
    <row r="1027">
      <c r="A1027" s="25"/>
      <c r="B1027" s="25"/>
      <c r="C1027" s="25"/>
      <c r="D1027" s="25"/>
      <c r="E1027" s="25"/>
      <c r="F1027" s="25"/>
      <c r="G1027" s="25"/>
      <c r="H1027" s="25"/>
      <c r="I1027" s="25"/>
      <c r="J1027" s="25"/>
      <c r="K1027" s="25"/>
      <c r="L1027" s="25"/>
      <c r="M1027" s="25"/>
      <c r="N1027" s="25"/>
      <c r="O1027" s="25"/>
      <c r="P1027" s="25"/>
      <c r="Q1027" s="25"/>
      <c r="R1027" s="25"/>
      <c r="S1027" s="25"/>
      <c r="T1027" s="25"/>
      <c r="U1027" s="25"/>
      <c r="V1027" s="25"/>
      <c r="W1027" s="25"/>
      <c r="X1027" s="25"/>
      <c r="Y1027" s="25"/>
      <c r="Z1027" s="25"/>
      <c r="AA1027" s="25"/>
    </row>
    <row r="1028">
      <c r="A1028" s="25"/>
      <c r="B1028" s="25"/>
      <c r="C1028" s="25"/>
      <c r="D1028" s="25"/>
      <c r="E1028" s="25"/>
      <c r="F1028" s="25"/>
      <c r="G1028" s="25"/>
      <c r="H1028" s="25"/>
      <c r="I1028" s="25"/>
      <c r="J1028" s="25"/>
      <c r="K1028" s="25"/>
      <c r="L1028" s="25"/>
      <c r="M1028" s="25"/>
      <c r="N1028" s="25"/>
      <c r="O1028" s="25"/>
      <c r="P1028" s="25"/>
      <c r="Q1028" s="25"/>
      <c r="R1028" s="25"/>
      <c r="S1028" s="25"/>
      <c r="T1028" s="25"/>
      <c r="U1028" s="25"/>
      <c r="V1028" s="25"/>
      <c r="W1028" s="25"/>
      <c r="X1028" s="25"/>
      <c r="Y1028" s="25"/>
      <c r="Z1028" s="25"/>
      <c r="AA1028" s="25"/>
    </row>
    <row r="1029">
      <c r="A1029" s="25"/>
      <c r="B1029" s="25"/>
      <c r="C1029" s="25"/>
      <c r="D1029" s="25"/>
      <c r="E1029" s="25"/>
      <c r="F1029" s="25"/>
      <c r="G1029" s="25"/>
      <c r="H1029" s="25"/>
      <c r="I1029" s="25"/>
      <c r="J1029" s="25"/>
      <c r="K1029" s="25"/>
      <c r="L1029" s="25"/>
      <c r="M1029" s="25"/>
      <c r="N1029" s="25"/>
      <c r="O1029" s="25"/>
      <c r="P1029" s="25"/>
      <c r="Q1029" s="25"/>
      <c r="R1029" s="25"/>
      <c r="S1029" s="25"/>
      <c r="T1029" s="25"/>
      <c r="U1029" s="25"/>
      <c r="V1029" s="25"/>
      <c r="W1029" s="25"/>
      <c r="X1029" s="25"/>
      <c r="Y1029" s="25"/>
      <c r="Z1029" s="25"/>
      <c r="AA1029" s="25"/>
    </row>
    <row r="1030">
      <c r="A1030" s="25"/>
      <c r="B1030" s="25"/>
      <c r="C1030" s="25"/>
      <c r="D1030" s="25"/>
      <c r="E1030" s="25"/>
      <c r="F1030" s="25"/>
      <c r="G1030" s="25"/>
      <c r="H1030" s="25"/>
      <c r="I1030" s="25"/>
      <c r="J1030" s="25"/>
      <c r="K1030" s="25"/>
      <c r="L1030" s="25"/>
      <c r="M1030" s="25"/>
      <c r="N1030" s="25"/>
      <c r="O1030" s="25"/>
      <c r="P1030" s="25"/>
      <c r="Q1030" s="25"/>
      <c r="R1030" s="25"/>
      <c r="S1030" s="25"/>
      <c r="T1030" s="25"/>
      <c r="U1030" s="25"/>
      <c r="V1030" s="25"/>
      <c r="W1030" s="25"/>
      <c r="X1030" s="25"/>
      <c r="Y1030" s="25"/>
      <c r="Z1030" s="25"/>
      <c r="AA1030" s="25"/>
    </row>
    <row r="1031">
      <c r="A1031" s="25"/>
      <c r="B1031" s="25"/>
      <c r="C1031" s="25"/>
      <c r="D1031" s="25"/>
      <c r="E1031" s="25"/>
      <c r="F1031" s="25"/>
      <c r="G1031" s="25"/>
      <c r="H1031" s="25"/>
      <c r="I1031" s="25"/>
      <c r="J1031" s="25"/>
      <c r="K1031" s="25"/>
      <c r="L1031" s="25"/>
      <c r="M1031" s="25"/>
      <c r="N1031" s="25"/>
      <c r="O1031" s="25"/>
      <c r="P1031" s="25"/>
      <c r="Q1031" s="25"/>
      <c r="R1031" s="25"/>
      <c r="S1031" s="25"/>
      <c r="T1031" s="25"/>
      <c r="U1031" s="25"/>
      <c r="V1031" s="25"/>
      <c r="W1031" s="25"/>
      <c r="X1031" s="25"/>
      <c r="Y1031" s="25"/>
      <c r="Z1031" s="25"/>
      <c r="AA1031" s="25"/>
    </row>
    <row r="1032">
      <c r="A1032" s="25"/>
      <c r="B1032" s="25"/>
      <c r="C1032" s="25"/>
      <c r="D1032" s="25"/>
      <c r="E1032" s="25"/>
      <c r="F1032" s="25"/>
      <c r="G1032" s="25"/>
      <c r="H1032" s="25"/>
      <c r="I1032" s="25"/>
      <c r="J1032" s="25"/>
      <c r="K1032" s="25"/>
      <c r="L1032" s="25"/>
      <c r="M1032" s="25"/>
      <c r="N1032" s="25"/>
      <c r="O1032" s="25"/>
      <c r="P1032" s="25"/>
      <c r="Q1032" s="25"/>
      <c r="R1032" s="25"/>
      <c r="S1032" s="25"/>
      <c r="T1032" s="25"/>
      <c r="U1032" s="25"/>
      <c r="V1032" s="25"/>
      <c r="W1032" s="25"/>
      <c r="X1032" s="25"/>
      <c r="Y1032" s="25"/>
      <c r="Z1032" s="25"/>
      <c r="AA1032" s="25"/>
    </row>
    <row r="1033">
      <c r="A1033" s="25"/>
      <c r="B1033" s="25"/>
      <c r="C1033" s="25"/>
      <c r="D1033" s="25"/>
      <c r="E1033" s="25"/>
      <c r="F1033" s="25"/>
      <c r="G1033" s="25"/>
      <c r="H1033" s="25"/>
      <c r="I1033" s="25"/>
      <c r="J1033" s="25"/>
      <c r="K1033" s="25"/>
      <c r="L1033" s="25"/>
      <c r="M1033" s="25"/>
      <c r="N1033" s="25"/>
      <c r="O1033" s="25"/>
      <c r="P1033" s="25"/>
      <c r="Q1033" s="25"/>
      <c r="R1033" s="25"/>
      <c r="S1033" s="25"/>
      <c r="T1033" s="25"/>
      <c r="U1033" s="25"/>
      <c r="V1033" s="25"/>
      <c r="W1033" s="25"/>
      <c r="X1033" s="25"/>
      <c r="Y1033" s="25"/>
      <c r="Z1033" s="25"/>
      <c r="AA1033" s="25"/>
    </row>
    <row r="1034">
      <c r="A1034" s="25"/>
      <c r="B1034" s="25"/>
      <c r="C1034" s="25"/>
      <c r="D1034" s="25"/>
      <c r="E1034" s="25"/>
      <c r="F1034" s="25"/>
      <c r="G1034" s="25"/>
      <c r="H1034" s="25"/>
      <c r="I1034" s="25"/>
      <c r="J1034" s="25"/>
      <c r="K1034" s="25"/>
      <c r="L1034" s="25"/>
      <c r="M1034" s="25"/>
      <c r="N1034" s="25"/>
      <c r="O1034" s="25"/>
      <c r="P1034" s="25"/>
      <c r="Q1034" s="25"/>
      <c r="R1034" s="25"/>
      <c r="S1034" s="25"/>
      <c r="T1034" s="25"/>
      <c r="U1034" s="25"/>
      <c r="V1034" s="25"/>
      <c r="W1034" s="25"/>
      <c r="X1034" s="25"/>
      <c r="Y1034" s="25"/>
      <c r="Z1034" s="25"/>
      <c r="AA1034" s="25"/>
    </row>
    <row r="1035">
      <c r="A1035" s="25"/>
      <c r="B1035" s="25"/>
      <c r="C1035" s="25"/>
      <c r="D1035" s="25"/>
      <c r="E1035" s="25"/>
      <c r="F1035" s="25"/>
      <c r="G1035" s="25"/>
      <c r="H1035" s="25"/>
      <c r="I1035" s="25"/>
      <c r="J1035" s="25"/>
      <c r="K1035" s="25"/>
      <c r="L1035" s="25"/>
      <c r="M1035" s="25"/>
      <c r="N1035" s="25"/>
      <c r="O1035" s="25"/>
      <c r="P1035" s="25"/>
      <c r="Q1035" s="25"/>
      <c r="R1035" s="25"/>
      <c r="S1035" s="25"/>
      <c r="T1035" s="25"/>
      <c r="U1035" s="25"/>
      <c r="V1035" s="25"/>
      <c r="W1035" s="25"/>
      <c r="X1035" s="25"/>
      <c r="Y1035" s="25"/>
      <c r="Z1035" s="25"/>
      <c r="AA1035" s="25"/>
    </row>
    <row r="1036">
      <c r="A1036" s="25"/>
      <c r="B1036" s="25"/>
      <c r="C1036" s="25"/>
      <c r="D1036" s="25"/>
      <c r="E1036" s="25"/>
      <c r="F1036" s="25"/>
      <c r="G1036" s="25"/>
      <c r="H1036" s="25"/>
      <c r="I1036" s="25"/>
      <c r="J1036" s="25"/>
      <c r="K1036" s="25"/>
      <c r="L1036" s="25"/>
      <c r="M1036" s="25"/>
      <c r="N1036" s="25"/>
      <c r="O1036" s="25"/>
      <c r="P1036" s="25"/>
      <c r="Q1036" s="25"/>
      <c r="R1036" s="25"/>
      <c r="S1036" s="25"/>
      <c r="T1036" s="25"/>
      <c r="U1036" s="25"/>
      <c r="V1036" s="25"/>
      <c r="W1036" s="25"/>
      <c r="X1036" s="25"/>
      <c r="Y1036" s="25"/>
      <c r="Z1036" s="25"/>
      <c r="AA1036" s="25"/>
    </row>
    <row r="1037">
      <c r="A1037" s="25"/>
      <c r="B1037" s="25"/>
      <c r="C1037" s="25"/>
      <c r="D1037" s="25"/>
      <c r="E1037" s="25"/>
      <c r="F1037" s="25"/>
      <c r="G1037" s="25"/>
      <c r="H1037" s="25"/>
      <c r="I1037" s="25"/>
      <c r="J1037" s="25"/>
      <c r="K1037" s="25"/>
      <c r="L1037" s="25"/>
      <c r="M1037" s="25"/>
      <c r="N1037" s="25"/>
      <c r="O1037" s="25"/>
      <c r="P1037" s="25"/>
      <c r="Q1037" s="25"/>
      <c r="R1037" s="25"/>
      <c r="S1037" s="25"/>
      <c r="T1037" s="25"/>
      <c r="U1037" s="25"/>
      <c r="V1037" s="25"/>
      <c r="W1037" s="25"/>
      <c r="X1037" s="25"/>
      <c r="Y1037" s="25"/>
      <c r="Z1037" s="25"/>
      <c r="AA1037" s="25"/>
    </row>
    <row r="1038">
      <c r="A1038" s="25"/>
      <c r="B1038" s="25"/>
      <c r="C1038" s="25"/>
      <c r="D1038" s="25"/>
      <c r="E1038" s="25"/>
      <c r="F1038" s="25"/>
      <c r="G1038" s="25"/>
      <c r="H1038" s="25"/>
      <c r="I1038" s="25"/>
      <c r="J1038" s="25"/>
      <c r="K1038" s="25"/>
      <c r="L1038" s="25"/>
      <c r="M1038" s="25"/>
      <c r="N1038" s="25"/>
      <c r="O1038" s="25"/>
      <c r="P1038" s="25"/>
      <c r="Q1038" s="25"/>
      <c r="R1038" s="25"/>
      <c r="S1038" s="25"/>
      <c r="T1038" s="25"/>
      <c r="U1038" s="25"/>
      <c r="V1038" s="25"/>
      <c r="W1038" s="25"/>
      <c r="X1038" s="25"/>
      <c r="Y1038" s="25"/>
      <c r="Z1038" s="25"/>
      <c r="AA1038" s="25"/>
    </row>
    <row r="1039">
      <c r="A1039" s="25"/>
      <c r="B1039" s="25"/>
      <c r="C1039" s="25"/>
      <c r="D1039" s="25"/>
      <c r="E1039" s="25"/>
      <c r="F1039" s="25"/>
      <c r="G1039" s="25"/>
      <c r="H1039" s="25"/>
      <c r="I1039" s="25"/>
      <c r="J1039" s="25"/>
      <c r="K1039" s="25"/>
      <c r="L1039" s="25"/>
      <c r="M1039" s="25"/>
      <c r="N1039" s="25"/>
      <c r="O1039" s="25"/>
      <c r="P1039" s="25"/>
      <c r="Q1039" s="25"/>
      <c r="R1039" s="25"/>
      <c r="S1039" s="25"/>
      <c r="T1039" s="25"/>
      <c r="U1039" s="25"/>
      <c r="V1039" s="25"/>
      <c r="W1039" s="25"/>
      <c r="X1039" s="25"/>
      <c r="Y1039" s="25"/>
      <c r="Z1039" s="25"/>
      <c r="AA1039" s="25"/>
    </row>
    <row r="1040">
      <c r="A1040" s="25"/>
      <c r="B1040" s="25"/>
      <c r="C1040" s="25"/>
      <c r="D1040" s="25"/>
      <c r="E1040" s="25"/>
      <c r="F1040" s="25"/>
      <c r="G1040" s="25"/>
      <c r="H1040" s="25"/>
      <c r="I1040" s="25"/>
      <c r="J1040" s="25"/>
      <c r="K1040" s="25"/>
      <c r="L1040" s="25"/>
      <c r="M1040" s="25"/>
      <c r="N1040" s="25"/>
      <c r="O1040" s="25"/>
      <c r="P1040" s="25"/>
      <c r="Q1040" s="25"/>
      <c r="R1040" s="25"/>
      <c r="S1040" s="25"/>
      <c r="T1040" s="25"/>
      <c r="U1040" s="25"/>
      <c r="V1040" s="25"/>
      <c r="W1040" s="25"/>
      <c r="X1040" s="25"/>
      <c r="Y1040" s="25"/>
      <c r="Z1040" s="25"/>
      <c r="AA1040" s="25"/>
    </row>
    <row r="1041">
      <c r="A1041" s="25"/>
      <c r="B1041" s="25"/>
      <c r="C1041" s="25"/>
      <c r="D1041" s="25"/>
      <c r="E1041" s="25"/>
      <c r="F1041" s="25"/>
      <c r="G1041" s="25"/>
      <c r="H1041" s="25"/>
      <c r="I1041" s="25"/>
      <c r="J1041" s="25"/>
      <c r="K1041" s="25"/>
      <c r="L1041" s="25"/>
      <c r="M1041" s="25"/>
      <c r="N1041" s="25"/>
      <c r="O1041" s="25"/>
      <c r="P1041" s="25"/>
      <c r="Q1041" s="25"/>
      <c r="R1041" s="25"/>
      <c r="S1041" s="25"/>
      <c r="T1041" s="25"/>
      <c r="U1041" s="25"/>
      <c r="V1041" s="25"/>
      <c r="W1041" s="25"/>
      <c r="X1041" s="25"/>
      <c r="Y1041" s="25"/>
      <c r="Z1041" s="25"/>
      <c r="AA1041" s="25"/>
    </row>
    <row r="1042">
      <c r="A1042" s="25"/>
      <c r="B1042" s="25"/>
      <c r="C1042" s="25"/>
      <c r="D1042" s="25"/>
      <c r="E1042" s="25"/>
      <c r="F1042" s="25"/>
      <c r="G1042" s="25"/>
      <c r="H1042" s="25"/>
      <c r="I1042" s="25"/>
      <c r="J1042" s="25"/>
      <c r="K1042" s="25"/>
      <c r="L1042" s="25"/>
      <c r="M1042" s="25"/>
      <c r="N1042" s="25"/>
      <c r="O1042" s="25"/>
      <c r="P1042" s="25"/>
      <c r="Q1042" s="25"/>
      <c r="R1042" s="25"/>
      <c r="S1042" s="25"/>
      <c r="T1042" s="25"/>
      <c r="U1042" s="25"/>
      <c r="V1042" s="25"/>
      <c r="W1042" s="25"/>
      <c r="X1042" s="25"/>
      <c r="Y1042" s="25"/>
      <c r="Z1042" s="25"/>
      <c r="AA1042" s="25"/>
    </row>
    <row r="1043">
      <c r="A1043" s="25"/>
      <c r="B1043" s="25"/>
      <c r="C1043" s="25"/>
      <c r="D1043" s="25"/>
      <c r="E1043" s="25"/>
      <c r="F1043" s="25"/>
      <c r="G1043" s="25"/>
      <c r="H1043" s="25"/>
      <c r="I1043" s="25"/>
      <c r="J1043" s="25"/>
      <c r="K1043" s="25"/>
      <c r="L1043" s="25"/>
      <c r="M1043" s="25"/>
      <c r="N1043" s="25"/>
      <c r="O1043" s="25"/>
      <c r="P1043" s="25"/>
      <c r="Q1043" s="25"/>
      <c r="R1043" s="25"/>
      <c r="S1043" s="25"/>
      <c r="T1043" s="25"/>
      <c r="U1043" s="25"/>
      <c r="V1043" s="25"/>
      <c r="W1043" s="25"/>
      <c r="X1043" s="25"/>
      <c r="Y1043" s="25"/>
      <c r="Z1043" s="25"/>
      <c r="AA1043" s="25"/>
    </row>
    <row r="1044">
      <c r="A1044" s="25"/>
      <c r="B1044" s="25"/>
      <c r="C1044" s="25"/>
      <c r="D1044" s="25"/>
      <c r="E1044" s="25"/>
      <c r="F1044" s="25"/>
      <c r="G1044" s="25"/>
      <c r="H1044" s="25"/>
      <c r="I1044" s="25"/>
      <c r="J1044" s="25"/>
      <c r="K1044" s="25"/>
      <c r="L1044" s="25"/>
      <c r="M1044" s="25"/>
      <c r="N1044" s="25"/>
      <c r="O1044" s="25"/>
      <c r="P1044" s="25"/>
      <c r="Q1044" s="25"/>
      <c r="R1044" s="25"/>
      <c r="S1044" s="25"/>
      <c r="T1044" s="25"/>
      <c r="U1044" s="25"/>
      <c r="V1044" s="25"/>
      <c r="W1044" s="25"/>
      <c r="X1044" s="25"/>
      <c r="Y1044" s="25"/>
      <c r="Z1044" s="25"/>
      <c r="AA1044" s="25"/>
    </row>
    <row r="1045">
      <c r="A1045" s="25"/>
      <c r="B1045" s="25"/>
      <c r="C1045" s="25"/>
      <c r="D1045" s="25"/>
      <c r="E1045" s="25"/>
      <c r="F1045" s="25"/>
      <c r="G1045" s="25"/>
      <c r="H1045" s="25"/>
      <c r="I1045" s="25"/>
      <c r="J1045" s="25"/>
      <c r="K1045" s="25"/>
      <c r="L1045" s="25"/>
      <c r="M1045" s="25"/>
      <c r="N1045" s="25"/>
      <c r="O1045" s="25"/>
      <c r="P1045" s="25"/>
      <c r="Q1045" s="25"/>
      <c r="R1045" s="25"/>
      <c r="S1045" s="25"/>
      <c r="T1045" s="25"/>
      <c r="U1045" s="25"/>
      <c r="V1045" s="25"/>
      <c r="W1045" s="25"/>
      <c r="X1045" s="25"/>
      <c r="Y1045" s="25"/>
      <c r="Z1045" s="25"/>
      <c r="AA1045" s="25"/>
    </row>
    <row r="1046">
      <c r="A1046" s="25"/>
      <c r="B1046" s="25"/>
      <c r="C1046" s="25"/>
      <c r="D1046" s="25"/>
      <c r="E1046" s="25"/>
      <c r="F1046" s="25"/>
      <c r="G1046" s="25"/>
      <c r="H1046" s="25"/>
      <c r="I1046" s="25"/>
      <c r="J1046" s="25"/>
      <c r="K1046" s="25"/>
      <c r="L1046" s="25"/>
      <c r="M1046" s="25"/>
      <c r="N1046" s="25"/>
      <c r="O1046" s="25"/>
      <c r="P1046" s="25"/>
      <c r="Q1046" s="25"/>
      <c r="R1046" s="25"/>
      <c r="S1046" s="25"/>
      <c r="T1046" s="25"/>
      <c r="U1046" s="25"/>
      <c r="V1046" s="25"/>
      <c r="W1046" s="25"/>
      <c r="X1046" s="25"/>
      <c r="Y1046" s="25"/>
      <c r="Z1046" s="25"/>
      <c r="AA1046" s="25"/>
    </row>
    <row r="1047">
      <c r="A1047" s="25"/>
      <c r="B1047" s="25"/>
      <c r="C1047" s="25"/>
      <c r="D1047" s="25"/>
      <c r="E1047" s="25"/>
      <c r="F1047" s="25"/>
      <c r="G1047" s="25"/>
      <c r="H1047" s="25"/>
      <c r="I1047" s="25"/>
      <c r="J1047" s="25"/>
      <c r="K1047" s="25"/>
      <c r="L1047" s="25"/>
      <c r="M1047" s="25"/>
      <c r="N1047" s="25"/>
      <c r="O1047" s="25"/>
      <c r="P1047" s="25"/>
      <c r="Q1047" s="25"/>
      <c r="R1047" s="25"/>
      <c r="S1047" s="25"/>
      <c r="T1047" s="25"/>
      <c r="U1047" s="25"/>
      <c r="V1047" s="25"/>
      <c r="W1047" s="25"/>
      <c r="X1047" s="25"/>
      <c r="Y1047" s="25"/>
      <c r="Z1047" s="25"/>
      <c r="AA1047" s="25"/>
    </row>
    <row r="1048">
      <c r="A1048" s="25"/>
      <c r="B1048" s="25"/>
      <c r="C1048" s="25"/>
      <c r="D1048" s="25"/>
      <c r="E1048" s="25"/>
      <c r="F1048" s="25"/>
      <c r="G1048" s="25"/>
      <c r="H1048" s="25"/>
      <c r="I1048" s="25"/>
      <c r="J1048" s="25"/>
      <c r="K1048" s="25"/>
      <c r="L1048" s="25"/>
      <c r="M1048" s="25"/>
      <c r="N1048" s="25"/>
      <c r="O1048" s="25"/>
      <c r="P1048" s="25"/>
      <c r="Q1048" s="25"/>
      <c r="R1048" s="25"/>
      <c r="S1048" s="25"/>
      <c r="T1048" s="25"/>
      <c r="U1048" s="25"/>
      <c r="V1048" s="25"/>
      <c r="W1048" s="25"/>
      <c r="X1048" s="25"/>
      <c r="Y1048" s="25"/>
      <c r="Z1048" s="25"/>
      <c r="AA1048" s="25"/>
    </row>
    <row r="1049">
      <c r="A1049" s="25"/>
      <c r="B1049" s="25"/>
      <c r="C1049" s="25"/>
      <c r="D1049" s="25"/>
      <c r="E1049" s="25"/>
      <c r="F1049" s="25"/>
      <c r="G1049" s="25"/>
      <c r="H1049" s="25"/>
      <c r="I1049" s="25"/>
      <c r="J1049" s="25"/>
      <c r="K1049" s="25"/>
      <c r="L1049" s="25"/>
      <c r="M1049" s="25"/>
      <c r="N1049" s="25"/>
      <c r="O1049" s="25"/>
      <c r="P1049" s="25"/>
      <c r="Q1049" s="25"/>
      <c r="R1049" s="25"/>
      <c r="S1049" s="25"/>
      <c r="T1049" s="25"/>
      <c r="U1049" s="25"/>
      <c r="V1049" s="25"/>
      <c r="W1049" s="25"/>
      <c r="X1049" s="25"/>
      <c r="Y1049" s="25"/>
      <c r="Z1049" s="25"/>
      <c r="AA1049" s="25"/>
    </row>
    <row r="1050">
      <c r="A1050" s="25"/>
      <c r="B1050" s="25"/>
      <c r="C1050" s="25"/>
      <c r="D1050" s="25"/>
      <c r="E1050" s="25"/>
      <c r="F1050" s="25"/>
      <c r="G1050" s="25"/>
      <c r="H1050" s="25"/>
      <c r="I1050" s="25"/>
      <c r="J1050" s="25"/>
      <c r="K1050" s="25"/>
      <c r="L1050" s="25"/>
      <c r="M1050" s="25"/>
      <c r="N1050" s="25"/>
      <c r="O1050" s="25"/>
      <c r="P1050" s="25"/>
      <c r="Q1050" s="25"/>
      <c r="R1050" s="25"/>
      <c r="S1050" s="25"/>
      <c r="T1050" s="25"/>
      <c r="U1050" s="25"/>
      <c r="V1050" s="25"/>
      <c r="W1050" s="25"/>
      <c r="X1050" s="25"/>
      <c r="Y1050" s="25"/>
      <c r="Z1050" s="25"/>
      <c r="AA1050" s="25"/>
    </row>
    <row r="1051">
      <c r="A1051" s="25"/>
      <c r="B1051" s="25"/>
      <c r="C1051" s="25"/>
      <c r="D1051" s="25"/>
      <c r="E1051" s="25"/>
      <c r="F1051" s="25"/>
      <c r="G1051" s="25"/>
      <c r="H1051" s="25"/>
      <c r="I1051" s="25"/>
      <c r="J1051" s="25"/>
      <c r="K1051" s="25"/>
      <c r="L1051" s="25"/>
      <c r="M1051" s="25"/>
      <c r="N1051" s="25"/>
      <c r="O1051" s="25"/>
      <c r="P1051" s="25"/>
      <c r="Q1051" s="25"/>
      <c r="R1051" s="25"/>
      <c r="S1051" s="25"/>
      <c r="T1051" s="25"/>
      <c r="U1051" s="25"/>
      <c r="V1051" s="25"/>
      <c r="W1051" s="25"/>
      <c r="X1051" s="25"/>
      <c r="Y1051" s="25"/>
      <c r="Z1051" s="25"/>
      <c r="AA1051" s="25"/>
    </row>
    <row r="1052">
      <c r="A1052" s="25"/>
      <c r="B1052" s="25"/>
      <c r="C1052" s="25"/>
      <c r="D1052" s="25"/>
      <c r="E1052" s="25"/>
      <c r="F1052" s="25"/>
      <c r="G1052" s="25"/>
      <c r="H1052" s="25"/>
      <c r="I1052" s="25"/>
      <c r="J1052" s="25"/>
      <c r="K1052" s="25"/>
      <c r="L1052" s="25"/>
      <c r="M1052" s="25"/>
      <c r="N1052" s="25"/>
      <c r="O1052" s="25"/>
      <c r="P1052" s="25"/>
      <c r="Q1052" s="25"/>
      <c r="R1052" s="25"/>
      <c r="S1052" s="25"/>
      <c r="T1052" s="25"/>
      <c r="U1052" s="25"/>
      <c r="V1052" s="25"/>
      <c r="W1052" s="25"/>
      <c r="X1052" s="25"/>
      <c r="Y1052" s="25"/>
      <c r="Z1052" s="25"/>
      <c r="AA1052" s="25"/>
    </row>
    <row r="1053">
      <c r="A1053" s="25"/>
      <c r="B1053" s="25"/>
      <c r="C1053" s="25"/>
      <c r="D1053" s="25"/>
      <c r="E1053" s="25"/>
      <c r="F1053" s="25"/>
      <c r="G1053" s="25"/>
      <c r="H1053" s="25"/>
      <c r="I1053" s="25"/>
      <c r="J1053" s="25"/>
      <c r="K1053" s="25"/>
      <c r="L1053" s="25"/>
      <c r="M1053" s="25"/>
      <c r="N1053" s="25"/>
      <c r="O1053" s="25"/>
      <c r="P1053" s="25"/>
      <c r="Q1053" s="25"/>
      <c r="R1053" s="25"/>
      <c r="S1053" s="25"/>
      <c r="T1053" s="25"/>
      <c r="U1053" s="25"/>
      <c r="V1053" s="25"/>
      <c r="W1053" s="25"/>
      <c r="X1053" s="25"/>
      <c r="Y1053" s="25"/>
      <c r="Z1053" s="25"/>
      <c r="AA1053" s="25"/>
    </row>
    <row r="1054">
      <c r="A1054" s="25"/>
      <c r="B1054" s="25"/>
      <c r="C1054" s="25"/>
      <c r="D1054" s="25"/>
      <c r="E1054" s="25"/>
      <c r="F1054" s="25"/>
      <c r="G1054" s="25"/>
      <c r="H1054" s="25"/>
      <c r="I1054" s="25"/>
      <c r="J1054" s="25"/>
      <c r="K1054" s="25"/>
      <c r="L1054" s="25"/>
      <c r="M1054" s="25"/>
      <c r="N1054" s="25"/>
      <c r="O1054" s="25"/>
      <c r="P1054" s="25"/>
      <c r="Q1054" s="25"/>
      <c r="R1054" s="25"/>
      <c r="S1054" s="25"/>
      <c r="T1054" s="25"/>
      <c r="U1054" s="25"/>
      <c r="V1054" s="25"/>
      <c r="W1054" s="25"/>
      <c r="X1054" s="25"/>
      <c r="Y1054" s="25"/>
      <c r="Z1054" s="25"/>
      <c r="AA1054" s="25"/>
    </row>
    <row r="1055">
      <c r="A1055" s="25"/>
      <c r="B1055" s="25"/>
      <c r="C1055" s="25"/>
      <c r="D1055" s="25"/>
      <c r="E1055" s="25"/>
      <c r="F1055" s="25"/>
      <c r="G1055" s="25"/>
      <c r="H1055" s="25"/>
      <c r="I1055" s="25"/>
      <c r="J1055" s="25"/>
      <c r="K1055" s="25"/>
      <c r="L1055" s="25"/>
      <c r="M1055" s="25"/>
      <c r="N1055" s="25"/>
      <c r="O1055" s="25"/>
      <c r="P1055" s="25"/>
      <c r="Q1055" s="25"/>
      <c r="R1055" s="25"/>
      <c r="S1055" s="25"/>
      <c r="T1055" s="25"/>
      <c r="U1055" s="25"/>
      <c r="V1055" s="25"/>
      <c r="W1055" s="25"/>
      <c r="X1055" s="25"/>
      <c r="Y1055" s="25"/>
      <c r="Z1055" s="25"/>
      <c r="AA1055" s="25"/>
    </row>
    <row r="1056">
      <c r="A1056" s="25"/>
      <c r="B1056" s="25"/>
      <c r="C1056" s="25"/>
      <c r="D1056" s="25"/>
      <c r="E1056" s="25"/>
      <c r="F1056" s="25"/>
      <c r="G1056" s="25"/>
      <c r="H1056" s="25"/>
      <c r="I1056" s="25"/>
      <c r="J1056" s="25"/>
      <c r="K1056" s="25"/>
      <c r="L1056" s="25"/>
      <c r="M1056" s="25"/>
      <c r="N1056" s="25"/>
      <c r="O1056" s="25"/>
      <c r="P1056" s="25"/>
      <c r="Q1056" s="25"/>
      <c r="R1056" s="25"/>
      <c r="S1056" s="25"/>
      <c r="T1056" s="25"/>
      <c r="U1056" s="25"/>
      <c r="V1056" s="25"/>
      <c r="W1056" s="25"/>
      <c r="X1056" s="25"/>
      <c r="Y1056" s="25"/>
      <c r="Z1056" s="25"/>
      <c r="AA1056" s="25"/>
    </row>
    <row r="1057">
      <c r="A1057" s="25"/>
      <c r="B1057" s="25"/>
      <c r="C1057" s="25"/>
      <c r="D1057" s="25"/>
      <c r="E1057" s="25"/>
      <c r="F1057" s="25"/>
      <c r="G1057" s="25"/>
      <c r="H1057" s="25"/>
      <c r="I1057" s="25"/>
      <c r="J1057" s="25"/>
      <c r="K1057" s="25"/>
      <c r="L1057" s="25"/>
      <c r="M1057" s="25"/>
      <c r="N1057" s="25"/>
      <c r="O1057" s="25"/>
      <c r="P1057" s="25"/>
      <c r="Q1057" s="25"/>
      <c r="R1057" s="25"/>
      <c r="S1057" s="25"/>
      <c r="T1057" s="25"/>
      <c r="U1057" s="25"/>
      <c r="V1057" s="25"/>
      <c r="W1057" s="25"/>
      <c r="X1057" s="25"/>
      <c r="Y1057" s="25"/>
      <c r="Z1057" s="25"/>
      <c r="AA1057" s="25"/>
    </row>
    <row r="1058">
      <c r="A1058" s="25"/>
      <c r="B1058" s="25"/>
      <c r="C1058" s="25"/>
      <c r="D1058" s="25"/>
      <c r="E1058" s="25"/>
      <c r="F1058" s="25"/>
      <c r="G1058" s="25"/>
      <c r="H1058" s="25"/>
      <c r="I1058" s="25"/>
      <c r="J1058" s="25"/>
      <c r="K1058" s="25"/>
      <c r="L1058" s="25"/>
      <c r="M1058" s="25"/>
      <c r="N1058" s="25"/>
      <c r="O1058" s="25"/>
      <c r="P1058" s="25"/>
      <c r="Q1058" s="25"/>
      <c r="R1058" s="25"/>
      <c r="S1058" s="25"/>
      <c r="T1058" s="25"/>
      <c r="U1058" s="25"/>
      <c r="V1058" s="25"/>
      <c r="W1058" s="25"/>
      <c r="X1058" s="25"/>
      <c r="Y1058" s="25"/>
      <c r="Z1058" s="25"/>
      <c r="AA1058" s="25"/>
    </row>
    <row r="1059">
      <c r="A1059" s="25"/>
      <c r="B1059" s="25"/>
      <c r="C1059" s="25"/>
      <c r="D1059" s="25"/>
      <c r="E1059" s="25"/>
      <c r="F1059" s="25"/>
      <c r="G1059" s="25"/>
      <c r="H1059" s="25"/>
      <c r="I1059" s="25"/>
      <c r="J1059" s="25"/>
      <c r="K1059" s="25"/>
      <c r="L1059" s="25"/>
      <c r="M1059" s="25"/>
      <c r="N1059" s="25"/>
      <c r="O1059" s="25"/>
      <c r="P1059" s="25"/>
      <c r="Q1059" s="25"/>
      <c r="R1059" s="25"/>
      <c r="S1059" s="25"/>
      <c r="T1059" s="25"/>
      <c r="U1059" s="25"/>
      <c r="V1059" s="25"/>
      <c r="W1059" s="25"/>
      <c r="X1059" s="25"/>
      <c r="Y1059" s="25"/>
      <c r="Z1059" s="25"/>
      <c r="AA1059" s="25"/>
    </row>
    <row r="1060">
      <c r="A1060" s="25"/>
      <c r="B1060" s="25"/>
      <c r="C1060" s="25"/>
      <c r="D1060" s="25"/>
      <c r="E1060" s="25"/>
      <c r="F1060" s="25"/>
      <c r="G1060" s="25"/>
      <c r="H1060" s="25"/>
      <c r="I1060" s="25"/>
      <c r="J1060" s="25"/>
      <c r="K1060" s="25"/>
      <c r="L1060" s="25"/>
      <c r="M1060" s="25"/>
      <c r="N1060" s="25"/>
      <c r="O1060" s="25"/>
      <c r="P1060" s="25"/>
      <c r="Q1060" s="25"/>
      <c r="R1060" s="25"/>
      <c r="S1060" s="25"/>
      <c r="T1060" s="25"/>
      <c r="U1060" s="25"/>
      <c r="V1060" s="25"/>
      <c r="W1060" s="25"/>
      <c r="X1060" s="25"/>
      <c r="Y1060" s="25"/>
      <c r="Z1060" s="25"/>
      <c r="AA1060" s="25"/>
    </row>
    <row r="1061">
      <c r="A1061" s="25"/>
      <c r="B1061" s="25"/>
      <c r="C1061" s="25"/>
      <c r="D1061" s="25"/>
      <c r="E1061" s="25"/>
      <c r="F1061" s="25"/>
      <c r="G1061" s="25"/>
      <c r="H1061" s="25"/>
      <c r="I1061" s="25"/>
      <c r="J1061" s="25"/>
      <c r="K1061" s="25"/>
      <c r="L1061" s="25"/>
      <c r="M1061" s="25"/>
      <c r="N1061" s="25"/>
      <c r="O1061" s="25"/>
      <c r="P1061" s="25"/>
      <c r="Q1061" s="25"/>
      <c r="R1061" s="25"/>
      <c r="S1061" s="25"/>
      <c r="T1061" s="25"/>
      <c r="U1061" s="25"/>
      <c r="V1061" s="25"/>
      <c r="W1061" s="25"/>
      <c r="X1061" s="25"/>
      <c r="Y1061" s="25"/>
      <c r="Z1061" s="25"/>
      <c r="AA1061" s="25"/>
    </row>
    <row r="1062">
      <c r="A1062" s="25"/>
      <c r="B1062" s="25"/>
      <c r="C1062" s="25"/>
      <c r="D1062" s="25"/>
      <c r="E1062" s="25"/>
      <c r="F1062" s="25"/>
      <c r="G1062" s="25"/>
      <c r="H1062" s="25"/>
      <c r="I1062" s="25"/>
      <c r="J1062" s="25"/>
      <c r="K1062" s="25"/>
      <c r="L1062" s="25"/>
      <c r="M1062" s="25"/>
      <c r="N1062" s="25"/>
      <c r="O1062" s="25"/>
      <c r="P1062" s="25"/>
      <c r="Q1062" s="25"/>
      <c r="R1062" s="25"/>
      <c r="S1062" s="25"/>
      <c r="T1062" s="25"/>
      <c r="U1062" s="25"/>
      <c r="V1062" s="25"/>
      <c r="W1062" s="25"/>
      <c r="X1062" s="25"/>
      <c r="Y1062" s="25"/>
      <c r="Z1062" s="25"/>
      <c r="AA1062" s="25"/>
    </row>
    <row r="1063">
      <c r="A1063" s="25"/>
      <c r="B1063" s="25"/>
      <c r="C1063" s="25"/>
      <c r="D1063" s="25"/>
      <c r="E1063" s="25"/>
      <c r="F1063" s="25"/>
      <c r="G1063" s="25"/>
      <c r="H1063" s="25"/>
      <c r="I1063" s="25"/>
      <c r="J1063" s="25"/>
      <c r="K1063" s="25"/>
      <c r="L1063" s="25"/>
      <c r="M1063" s="25"/>
      <c r="N1063" s="25"/>
      <c r="O1063" s="25"/>
      <c r="P1063" s="25"/>
      <c r="Q1063" s="25"/>
      <c r="R1063" s="25"/>
      <c r="S1063" s="25"/>
      <c r="T1063" s="25"/>
      <c r="U1063" s="25"/>
      <c r="V1063" s="25"/>
      <c r="W1063" s="25"/>
      <c r="X1063" s="25"/>
      <c r="Y1063" s="25"/>
      <c r="Z1063" s="25"/>
      <c r="AA1063" s="25"/>
    </row>
    <row r="1064">
      <c r="A1064" s="25"/>
      <c r="B1064" s="25"/>
      <c r="C1064" s="25"/>
      <c r="D1064" s="25"/>
      <c r="E1064" s="25"/>
      <c r="F1064" s="25"/>
      <c r="G1064" s="25"/>
      <c r="H1064" s="25"/>
      <c r="I1064" s="25"/>
      <c r="J1064" s="25"/>
      <c r="K1064" s="25"/>
      <c r="L1064" s="25"/>
      <c r="M1064" s="25"/>
      <c r="N1064" s="25"/>
      <c r="O1064" s="25"/>
      <c r="P1064" s="25"/>
      <c r="Q1064" s="25"/>
      <c r="R1064" s="25"/>
      <c r="S1064" s="25"/>
      <c r="T1064" s="25"/>
      <c r="U1064" s="25"/>
      <c r="V1064" s="25"/>
      <c r="W1064" s="25"/>
      <c r="X1064" s="25"/>
      <c r="Y1064" s="25"/>
      <c r="Z1064" s="25"/>
      <c r="AA1064" s="25"/>
    </row>
    <row r="1065">
      <c r="A1065" s="25"/>
      <c r="B1065" s="25"/>
      <c r="C1065" s="25"/>
      <c r="D1065" s="25"/>
      <c r="E1065" s="25"/>
      <c r="F1065" s="25"/>
      <c r="G1065" s="25"/>
      <c r="H1065" s="25"/>
      <c r="I1065" s="25"/>
      <c r="J1065" s="25"/>
      <c r="K1065" s="25"/>
      <c r="L1065" s="25"/>
      <c r="M1065" s="25"/>
      <c r="N1065" s="25"/>
      <c r="O1065" s="25"/>
      <c r="P1065" s="25"/>
      <c r="Q1065" s="25"/>
      <c r="R1065" s="25"/>
      <c r="S1065" s="25"/>
      <c r="T1065" s="25"/>
      <c r="U1065" s="25"/>
      <c r="V1065" s="25"/>
      <c r="W1065" s="25"/>
      <c r="X1065" s="25"/>
      <c r="Y1065" s="25"/>
      <c r="Z1065" s="25"/>
      <c r="AA1065" s="25"/>
    </row>
  </sheetData>
  <printOptions gridLines="1" horizontalCentered="1"/>
  <pageMargins bottom="0.75" footer="0.0" header="0.0" left="0.7" right="0.7" top="0.75"/>
  <pageSetup fitToHeight="0" cellComments="atEnd" orientation="landscape" pageOrder="overThenDown"/>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44.88"/>
    <col customWidth="1" min="4" max="4" width="18.5"/>
    <col customWidth="1" min="5" max="5" width="44.38"/>
    <col customWidth="1" min="6" max="6" width="32.0"/>
    <col customWidth="1" min="7" max="7" width="36.38"/>
  </cols>
  <sheetData>
    <row r="1">
      <c r="A1" s="24"/>
      <c r="B1" s="24" t="s">
        <v>131</v>
      </c>
      <c r="C1" s="24" t="s">
        <v>132</v>
      </c>
      <c r="D1" s="24" t="s">
        <v>133</v>
      </c>
      <c r="E1" s="24" t="s">
        <v>136</v>
      </c>
      <c r="F1" s="24" t="s">
        <v>379</v>
      </c>
      <c r="H1" s="25"/>
      <c r="I1" s="25"/>
      <c r="J1" s="25"/>
      <c r="K1" s="25"/>
      <c r="L1" s="25"/>
      <c r="M1" s="25"/>
      <c r="N1" s="25"/>
      <c r="O1" s="25"/>
      <c r="P1" s="25"/>
      <c r="Q1" s="25"/>
      <c r="R1" s="25"/>
      <c r="S1" s="25"/>
      <c r="T1" s="25"/>
      <c r="U1" s="25"/>
      <c r="V1" s="25"/>
      <c r="W1" s="25"/>
      <c r="X1" s="25"/>
      <c r="Y1" s="25"/>
      <c r="Z1" s="25"/>
      <c r="AA1" s="25"/>
    </row>
    <row r="2" ht="57.75" customHeight="1">
      <c r="A2" s="24" t="s">
        <v>4</v>
      </c>
      <c r="B2" s="25"/>
      <c r="C2" s="24" t="s">
        <v>137</v>
      </c>
      <c r="D2" s="24"/>
      <c r="E2" s="24" t="s">
        <v>380</v>
      </c>
      <c r="F2" s="24" t="s">
        <v>381</v>
      </c>
      <c r="G2" s="24"/>
      <c r="H2" s="25"/>
      <c r="I2" s="25"/>
      <c r="J2" s="25"/>
      <c r="K2" s="25"/>
      <c r="L2" s="25"/>
      <c r="M2" s="25"/>
      <c r="N2" s="25"/>
      <c r="O2" s="25"/>
      <c r="P2" s="25"/>
      <c r="Q2" s="25"/>
      <c r="R2" s="25"/>
      <c r="S2" s="25"/>
      <c r="T2" s="25"/>
      <c r="U2" s="25"/>
      <c r="V2" s="25"/>
      <c r="W2" s="25"/>
      <c r="X2" s="25"/>
      <c r="Y2" s="25"/>
      <c r="Z2" s="25"/>
      <c r="AA2" s="25"/>
    </row>
    <row r="3">
      <c r="A3" s="24"/>
      <c r="B3" s="24" t="s">
        <v>5</v>
      </c>
      <c r="C3" s="24" t="s">
        <v>138</v>
      </c>
      <c r="D3" s="26" t="s">
        <v>371</v>
      </c>
      <c r="E3" s="24" t="s">
        <v>382</v>
      </c>
      <c r="F3" s="24" t="s">
        <v>383</v>
      </c>
      <c r="G3" s="24"/>
      <c r="H3" s="25"/>
      <c r="I3" s="25"/>
      <c r="J3" s="25"/>
      <c r="K3" s="25"/>
      <c r="L3" s="25"/>
      <c r="M3" s="25"/>
      <c r="N3" s="25"/>
      <c r="O3" s="25"/>
      <c r="P3" s="25"/>
      <c r="Q3" s="25"/>
      <c r="R3" s="25"/>
      <c r="S3" s="25"/>
      <c r="T3" s="25"/>
      <c r="U3" s="25"/>
      <c r="V3" s="25"/>
      <c r="W3" s="25"/>
      <c r="X3" s="25"/>
      <c r="Y3" s="25"/>
      <c r="Z3" s="25"/>
      <c r="AA3" s="25"/>
    </row>
    <row r="4">
      <c r="A4" s="24"/>
      <c r="B4" s="24" t="s">
        <v>7</v>
      </c>
      <c r="C4" s="24" t="s">
        <v>139</v>
      </c>
      <c r="D4" s="26" t="s">
        <v>371</v>
      </c>
      <c r="E4" s="24" t="s">
        <v>384</v>
      </c>
      <c r="F4" s="24" t="s">
        <v>385</v>
      </c>
      <c r="G4" s="24"/>
      <c r="H4" s="25"/>
      <c r="I4" s="25"/>
      <c r="J4" s="25"/>
      <c r="K4" s="25"/>
      <c r="L4" s="25"/>
      <c r="M4" s="25"/>
      <c r="N4" s="25"/>
      <c r="O4" s="25"/>
      <c r="P4" s="25"/>
      <c r="Q4" s="25"/>
      <c r="R4" s="25"/>
      <c r="S4" s="25"/>
      <c r="T4" s="25"/>
      <c r="U4" s="25"/>
      <c r="V4" s="25"/>
      <c r="W4" s="25"/>
      <c r="X4" s="25"/>
      <c r="Y4" s="25"/>
      <c r="Z4" s="25"/>
      <c r="AA4" s="25"/>
    </row>
    <row r="5">
      <c r="A5" s="24"/>
      <c r="B5" s="24" t="s">
        <v>8</v>
      </c>
      <c r="C5" s="24" t="s">
        <v>140</v>
      </c>
      <c r="D5" s="24"/>
      <c r="E5" s="24"/>
      <c r="F5" s="24"/>
      <c r="G5" s="24"/>
      <c r="H5" s="25"/>
      <c r="I5" s="25"/>
      <c r="J5" s="25"/>
      <c r="K5" s="25"/>
      <c r="L5" s="25"/>
      <c r="M5" s="25"/>
      <c r="N5" s="25"/>
      <c r="O5" s="25"/>
      <c r="P5" s="25"/>
      <c r="Q5" s="25"/>
      <c r="R5" s="25"/>
      <c r="S5" s="25"/>
      <c r="T5" s="25"/>
      <c r="U5" s="25"/>
      <c r="V5" s="25"/>
      <c r="W5" s="25"/>
      <c r="X5" s="25"/>
      <c r="Y5" s="25"/>
      <c r="Z5" s="25"/>
      <c r="AA5" s="25"/>
    </row>
    <row r="6">
      <c r="A6" s="24"/>
      <c r="B6" s="24" t="s">
        <v>9</v>
      </c>
      <c r="C6" s="24" t="s">
        <v>141</v>
      </c>
      <c r="D6" s="24"/>
      <c r="E6" s="24"/>
      <c r="F6" s="24"/>
      <c r="G6" s="24"/>
      <c r="H6" s="25"/>
      <c r="I6" s="25"/>
      <c r="J6" s="25"/>
      <c r="K6" s="25"/>
      <c r="L6" s="25"/>
      <c r="M6" s="25"/>
      <c r="N6" s="25"/>
      <c r="O6" s="25"/>
      <c r="P6" s="25"/>
      <c r="Q6" s="25"/>
      <c r="R6" s="25"/>
      <c r="S6" s="25"/>
      <c r="T6" s="25"/>
      <c r="U6" s="25"/>
      <c r="V6" s="25"/>
      <c r="W6" s="25"/>
      <c r="X6" s="25"/>
      <c r="Y6" s="25"/>
      <c r="Z6" s="25"/>
      <c r="AA6" s="25"/>
    </row>
    <row r="7">
      <c r="A7" s="24" t="s">
        <v>10</v>
      </c>
      <c r="B7" s="25"/>
      <c r="C7" s="24" t="s">
        <v>142</v>
      </c>
      <c r="D7" s="24"/>
      <c r="E7" s="24" t="s">
        <v>386</v>
      </c>
      <c r="F7" s="25"/>
      <c r="G7" s="25"/>
      <c r="H7" s="25"/>
      <c r="I7" s="25"/>
      <c r="J7" s="25"/>
      <c r="K7" s="25"/>
      <c r="L7" s="25"/>
      <c r="M7" s="25"/>
      <c r="N7" s="25"/>
      <c r="O7" s="25"/>
      <c r="P7" s="25"/>
      <c r="Q7" s="25"/>
      <c r="R7" s="25"/>
      <c r="S7" s="25"/>
      <c r="T7" s="25"/>
      <c r="U7" s="25"/>
      <c r="V7" s="25"/>
      <c r="W7" s="25"/>
      <c r="X7" s="25"/>
      <c r="Y7" s="25"/>
      <c r="Z7" s="25"/>
      <c r="AA7" s="25"/>
    </row>
    <row r="8">
      <c r="A8" s="24"/>
      <c r="B8" s="24" t="s">
        <v>11</v>
      </c>
      <c r="C8" s="24" t="s">
        <v>146</v>
      </c>
      <c r="D8" s="26" t="s">
        <v>371</v>
      </c>
      <c r="E8" s="24" t="s">
        <v>387</v>
      </c>
      <c r="F8" s="24" t="s">
        <v>388</v>
      </c>
      <c r="G8" s="25"/>
      <c r="H8" s="25"/>
      <c r="I8" s="25"/>
      <c r="J8" s="25"/>
      <c r="K8" s="25"/>
      <c r="L8" s="25"/>
      <c r="M8" s="25"/>
      <c r="N8" s="25"/>
      <c r="O8" s="25"/>
      <c r="P8" s="25"/>
      <c r="Q8" s="25"/>
      <c r="R8" s="25"/>
      <c r="S8" s="25"/>
      <c r="T8" s="25"/>
      <c r="U8" s="25"/>
      <c r="V8" s="25"/>
      <c r="W8" s="25"/>
      <c r="X8" s="25"/>
      <c r="Y8" s="25"/>
      <c r="Z8" s="25"/>
      <c r="AA8" s="25"/>
    </row>
    <row r="9">
      <c r="A9" s="24"/>
      <c r="B9" s="24" t="s">
        <v>12</v>
      </c>
      <c r="C9" s="24" t="s">
        <v>389</v>
      </c>
      <c r="D9" s="26" t="s">
        <v>371</v>
      </c>
      <c r="E9" s="24" t="s">
        <v>390</v>
      </c>
      <c r="F9" s="24" t="s">
        <v>391</v>
      </c>
      <c r="G9" s="24"/>
      <c r="H9" s="25"/>
      <c r="I9" s="25"/>
      <c r="J9" s="25"/>
      <c r="K9" s="25"/>
      <c r="L9" s="25"/>
      <c r="M9" s="25"/>
      <c r="N9" s="25"/>
      <c r="O9" s="25"/>
      <c r="P9" s="25"/>
      <c r="Q9" s="25"/>
      <c r="R9" s="25"/>
      <c r="S9" s="25"/>
      <c r="T9" s="25"/>
      <c r="U9" s="25"/>
      <c r="V9" s="25"/>
      <c r="W9" s="25"/>
      <c r="X9" s="25"/>
      <c r="Y9" s="25"/>
      <c r="Z9" s="25"/>
      <c r="AA9" s="25"/>
    </row>
    <row r="10">
      <c r="A10" s="24"/>
      <c r="B10" s="24" t="s">
        <v>15</v>
      </c>
      <c r="C10" s="24" t="s">
        <v>152</v>
      </c>
      <c r="D10" s="26" t="s">
        <v>371</v>
      </c>
      <c r="E10" s="24" t="s">
        <v>392</v>
      </c>
      <c r="F10" s="24" t="s">
        <v>393</v>
      </c>
      <c r="G10" s="25"/>
      <c r="H10" s="25"/>
      <c r="I10" s="25"/>
      <c r="J10" s="25"/>
      <c r="K10" s="25"/>
      <c r="L10" s="25"/>
      <c r="M10" s="25"/>
      <c r="N10" s="25"/>
      <c r="O10" s="25"/>
      <c r="P10" s="25"/>
      <c r="Q10" s="25"/>
      <c r="R10" s="25"/>
      <c r="S10" s="25"/>
      <c r="T10" s="25"/>
      <c r="U10" s="25"/>
      <c r="V10" s="25"/>
      <c r="W10" s="25"/>
      <c r="X10" s="25"/>
      <c r="Y10" s="25"/>
      <c r="Z10" s="25"/>
      <c r="AA10" s="25"/>
    </row>
    <row r="11">
      <c r="A11" s="24"/>
      <c r="B11" s="24" t="s">
        <v>394</v>
      </c>
      <c r="C11" s="24" t="s">
        <v>395</v>
      </c>
      <c r="D11" s="24" t="s">
        <v>396</v>
      </c>
      <c r="E11" s="24"/>
      <c r="F11" s="24"/>
      <c r="G11" s="24"/>
      <c r="H11" s="25"/>
      <c r="I11" s="25"/>
      <c r="J11" s="25"/>
      <c r="K11" s="25"/>
      <c r="L11" s="25"/>
      <c r="M11" s="25"/>
      <c r="N11" s="25"/>
      <c r="O11" s="25"/>
      <c r="P11" s="25"/>
      <c r="Q11" s="25"/>
      <c r="R11" s="25"/>
      <c r="S11" s="25"/>
      <c r="T11" s="25"/>
      <c r="U11" s="25"/>
      <c r="V11" s="25"/>
      <c r="W11" s="25"/>
      <c r="X11" s="25"/>
      <c r="Y11" s="25"/>
      <c r="Z11" s="25"/>
      <c r="AA11" s="25"/>
    </row>
    <row r="12">
      <c r="A12" s="24"/>
      <c r="B12" s="24" t="s">
        <v>16</v>
      </c>
      <c r="C12" s="24" t="s">
        <v>397</v>
      </c>
      <c r="D12" s="26"/>
      <c r="E12" s="24" t="s">
        <v>398</v>
      </c>
      <c r="F12" s="24"/>
      <c r="G12" s="24"/>
      <c r="H12" s="25"/>
      <c r="I12" s="25"/>
      <c r="J12" s="25"/>
      <c r="K12" s="25"/>
      <c r="L12" s="25"/>
      <c r="M12" s="25"/>
      <c r="N12" s="25"/>
      <c r="O12" s="25"/>
      <c r="P12" s="25"/>
      <c r="Q12" s="25"/>
      <c r="R12" s="25"/>
      <c r="S12" s="25"/>
      <c r="T12" s="25"/>
      <c r="U12" s="25"/>
      <c r="V12" s="25"/>
      <c r="W12" s="25"/>
      <c r="X12" s="25"/>
      <c r="Y12" s="25"/>
      <c r="Z12" s="25"/>
      <c r="AA12" s="25"/>
    </row>
    <row r="13">
      <c r="A13" s="24" t="s">
        <v>18</v>
      </c>
      <c r="B13" s="25"/>
      <c r="C13" s="24" t="s">
        <v>155</v>
      </c>
      <c r="D13" s="24"/>
      <c r="E13" s="24"/>
      <c r="F13" s="24"/>
      <c r="H13" s="25"/>
      <c r="I13" s="25"/>
      <c r="J13" s="25"/>
      <c r="K13" s="25"/>
      <c r="L13" s="25"/>
      <c r="M13" s="25"/>
      <c r="N13" s="25"/>
      <c r="O13" s="25"/>
      <c r="P13" s="25"/>
      <c r="Q13" s="25"/>
      <c r="R13" s="25"/>
      <c r="S13" s="25"/>
      <c r="T13" s="25"/>
      <c r="U13" s="25"/>
      <c r="V13" s="25"/>
      <c r="W13" s="25"/>
      <c r="X13" s="25"/>
      <c r="Y13" s="25"/>
      <c r="Z13" s="25"/>
      <c r="AA13" s="25"/>
    </row>
    <row r="14">
      <c r="A14" s="24"/>
      <c r="B14" s="24" t="s">
        <v>19</v>
      </c>
      <c r="C14" s="24" t="s">
        <v>294</v>
      </c>
      <c r="D14" s="24"/>
      <c r="F14" s="24"/>
      <c r="G14" s="24"/>
      <c r="H14" s="25"/>
      <c r="I14" s="25"/>
      <c r="J14" s="25"/>
      <c r="K14" s="25"/>
      <c r="L14" s="25"/>
      <c r="M14" s="25"/>
      <c r="N14" s="25"/>
      <c r="O14" s="25"/>
      <c r="P14" s="25"/>
      <c r="Q14" s="25"/>
      <c r="R14" s="25"/>
      <c r="S14" s="25"/>
      <c r="T14" s="25"/>
      <c r="U14" s="25"/>
      <c r="V14" s="25"/>
      <c r="W14" s="25"/>
      <c r="X14" s="25"/>
      <c r="Y14" s="25"/>
      <c r="Z14" s="25"/>
      <c r="AA14" s="25"/>
    </row>
    <row r="15">
      <c r="A15" s="24"/>
      <c r="B15" s="24" t="s">
        <v>297</v>
      </c>
      <c r="C15" s="24" t="s">
        <v>298</v>
      </c>
      <c r="D15" s="24"/>
      <c r="E15" s="24"/>
      <c r="F15" s="24"/>
      <c r="G15" s="24"/>
      <c r="H15" s="25"/>
      <c r="I15" s="25"/>
      <c r="J15" s="25"/>
      <c r="K15" s="25"/>
      <c r="L15" s="25"/>
      <c r="M15" s="25"/>
      <c r="N15" s="25"/>
      <c r="O15" s="25"/>
      <c r="P15" s="25"/>
      <c r="Q15" s="25"/>
      <c r="R15" s="25"/>
      <c r="S15" s="25"/>
      <c r="T15" s="25"/>
      <c r="U15" s="25"/>
      <c r="V15" s="25"/>
      <c r="W15" s="25"/>
      <c r="X15" s="25"/>
      <c r="Y15" s="25"/>
      <c r="Z15" s="25"/>
      <c r="AA15" s="25"/>
    </row>
    <row r="16">
      <c r="A16" s="24"/>
      <c r="B16" s="24" t="s">
        <v>21</v>
      </c>
      <c r="C16" s="24" t="s">
        <v>301</v>
      </c>
      <c r="D16" s="24"/>
      <c r="E16" s="24"/>
      <c r="F16" s="24"/>
      <c r="G16" s="24"/>
      <c r="H16" s="25"/>
      <c r="I16" s="25"/>
      <c r="J16" s="25"/>
      <c r="K16" s="25"/>
      <c r="L16" s="25"/>
      <c r="M16" s="25"/>
      <c r="N16" s="25"/>
      <c r="O16" s="25"/>
      <c r="P16" s="25"/>
      <c r="Q16" s="25"/>
      <c r="R16" s="25"/>
      <c r="S16" s="25"/>
      <c r="T16" s="25"/>
      <c r="U16" s="25"/>
      <c r="V16" s="25"/>
      <c r="W16" s="25"/>
      <c r="X16" s="25"/>
      <c r="Y16" s="25"/>
      <c r="Z16" s="25"/>
      <c r="AA16" s="25"/>
    </row>
    <row r="17">
      <c r="A17" s="24"/>
      <c r="B17" s="24" t="s">
        <v>303</v>
      </c>
      <c r="C17" s="24" t="s">
        <v>304</v>
      </c>
      <c r="D17" s="24"/>
      <c r="E17" s="24"/>
      <c r="F17" s="24"/>
      <c r="G17" s="24"/>
      <c r="H17" s="25"/>
      <c r="I17" s="25"/>
      <c r="J17" s="25"/>
      <c r="K17" s="25"/>
      <c r="L17" s="25"/>
      <c r="M17" s="25"/>
      <c r="N17" s="25"/>
      <c r="O17" s="25"/>
      <c r="P17" s="25"/>
      <c r="Q17" s="25"/>
      <c r="R17" s="25"/>
      <c r="S17" s="25"/>
      <c r="T17" s="25"/>
      <c r="U17" s="25"/>
      <c r="V17" s="25"/>
      <c r="W17" s="25"/>
      <c r="X17" s="25"/>
      <c r="Y17" s="25"/>
      <c r="Z17" s="25"/>
      <c r="AA17" s="25"/>
    </row>
    <row r="18">
      <c r="A18" s="24"/>
      <c r="B18" s="24" t="s">
        <v>306</v>
      </c>
      <c r="C18" s="24" t="s">
        <v>307</v>
      </c>
      <c r="D18" s="24"/>
      <c r="E18" s="24"/>
      <c r="F18" s="24"/>
      <c r="G18" s="24"/>
      <c r="H18" s="25"/>
      <c r="I18" s="25"/>
      <c r="J18" s="25"/>
      <c r="K18" s="25"/>
      <c r="L18" s="25"/>
      <c r="M18" s="25"/>
      <c r="N18" s="25"/>
      <c r="O18" s="25"/>
      <c r="P18" s="25"/>
      <c r="Q18" s="25"/>
      <c r="R18" s="25"/>
      <c r="S18" s="25"/>
      <c r="T18" s="25"/>
      <c r="U18" s="25"/>
      <c r="V18" s="25"/>
      <c r="W18" s="25"/>
      <c r="X18" s="25"/>
      <c r="Y18" s="25"/>
      <c r="Z18" s="25"/>
      <c r="AA18" s="25"/>
    </row>
    <row r="19">
      <c r="A19" s="24"/>
      <c r="B19" s="24" t="s">
        <v>309</v>
      </c>
      <c r="C19" s="24" t="s">
        <v>310</v>
      </c>
      <c r="D19" s="24"/>
      <c r="E19" s="24"/>
      <c r="F19" s="24"/>
      <c r="G19" s="24"/>
      <c r="H19" s="25"/>
      <c r="I19" s="25"/>
      <c r="J19" s="25"/>
      <c r="K19" s="25"/>
      <c r="L19" s="25"/>
      <c r="M19" s="25"/>
      <c r="N19" s="25"/>
      <c r="O19" s="25"/>
      <c r="P19" s="25"/>
      <c r="Q19" s="25"/>
      <c r="R19" s="25"/>
      <c r="S19" s="25"/>
      <c r="T19" s="25"/>
      <c r="U19" s="25"/>
      <c r="V19" s="25"/>
      <c r="W19" s="25"/>
      <c r="X19" s="25"/>
      <c r="Y19" s="25"/>
      <c r="Z19" s="25"/>
      <c r="AA19" s="25"/>
    </row>
    <row r="20">
      <c r="A20" s="24" t="s">
        <v>23</v>
      </c>
      <c r="B20" s="25"/>
      <c r="C20" s="24" t="s">
        <v>156</v>
      </c>
      <c r="D20" s="24"/>
      <c r="E20" s="24" t="s">
        <v>399</v>
      </c>
      <c r="F20" s="24"/>
      <c r="G20" s="24"/>
      <c r="H20" s="25"/>
      <c r="I20" s="25"/>
      <c r="J20" s="25"/>
      <c r="K20" s="25"/>
      <c r="L20" s="25"/>
      <c r="M20" s="25"/>
      <c r="N20" s="25"/>
      <c r="O20" s="25"/>
      <c r="P20" s="25"/>
      <c r="Q20" s="25"/>
      <c r="R20" s="25"/>
      <c r="S20" s="25"/>
      <c r="T20" s="25"/>
      <c r="U20" s="25"/>
      <c r="V20" s="25"/>
      <c r="W20" s="25"/>
      <c r="X20" s="25"/>
      <c r="Y20" s="25"/>
      <c r="Z20" s="25"/>
      <c r="AA20" s="25"/>
    </row>
    <row r="21">
      <c r="A21" s="25"/>
      <c r="B21" s="24" t="s">
        <v>24</v>
      </c>
      <c r="C21" s="24" t="s">
        <v>159</v>
      </c>
      <c r="D21" s="26" t="s">
        <v>6</v>
      </c>
      <c r="E21" s="24" t="s">
        <v>400</v>
      </c>
      <c r="F21" s="24" t="s">
        <v>401</v>
      </c>
      <c r="G21" s="24"/>
      <c r="H21" s="25"/>
      <c r="I21" s="25"/>
      <c r="J21" s="25"/>
      <c r="K21" s="25"/>
      <c r="L21" s="25"/>
      <c r="M21" s="25"/>
      <c r="N21" s="25"/>
      <c r="O21" s="25"/>
      <c r="P21" s="25"/>
      <c r="Q21" s="25"/>
      <c r="R21" s="25"/>
      <c r="S21" s="25"/>
      <c r="T21" s="25"/>
      <c r="U21" s="25"/>
      <c r="V21" s="25"/>
      <c r="W21" s="25"/>
      <c r="X21" s="25"/>
      <c r="Y21" s="25"/>
      <c r="Z21" s="25"/>
      <c r="AA21" s="25"/>
    </row>
    <row r="22">
      <c r="A22" s="25"/>
      <c r="B22" s="24" t="s">
        <v>25</v>
      </c>
      <c r="C22" s="24" t="s">
        <v>161</v>
      </c>
      <c r="D22" s="24"/>
      <c r="E22" s="24"/>
      <c r="F22" s="24"/>
      <c r="G22" s="24"/>
      <c r="H22" s="25"/>
      <c r="I22" s="25"/>
      <c r="J22" s="25"/>
      <c r="K22" s="25"/>
      <c r="L22" s="25"/>
      <c r="M22" s="25"/>
      <c r="N22" s="25"/>
      <c r="O22" s="25"/>
      <c r="P22" s="25"/>
      <c r="Q22" s="25"/>
      <c r="R22" s="25"/>
      <c r="S22" s="25"/>
      <c r="T22" s="25"/>
      <c r="U22" s="25"/>
      <c r="V22" s="25"/>
      <c r="W22" s="25"/>
      <c r="X22" s="25"/>
      <c r="Y22" s="25"/>
      <c r="Z22" s="25"/>
      <c r="AA22" s="25"/>
    </row>
    <row r="23">
      <c r="A23" s="24"/>
      <c r="B23" s="24" t="s">
        <v>26</v>
      </c>
      <c r="C23" s="24" t="s">
        <v>163</v>
      </c>
      <c r="D23" s="24"/>
      <c r="E23" s="24"/>
      <c r="F23" s="24"/>
      <c r="G23" s="25"/>
      <c r="H23" s="25"/>
      <c r="I23" s="25"/>
      <c r="J23" s="25"/>
      <c r="K23" s="25"/>
      <c r="L23" s="25"/>
      <c r="M23" s="25"/>
      <c r="N23" s="25"/>
      <c r="O23" s="25"/>
      <c r="P23" s="25"/>
      <c r="Q23" s="25"/>
      <c r="R23" s="25"/>
      <c r="S23" s="25"/>
      <c r="T23" s="25"/>
      <c r="U23" s="25"/>
      <c r="V23" s="25"/>
      <c r="W23" s="25"/>
      <c r="X23" s="25"/>
      <c r="Y23" s="25"/>
      <c r="Z23" s="25"/>
      <c r="AA23" s="25"/>
    </row>
    <row r="24">
      <c r="A24" s="24"/>
      <c r="B24" s="24" t="s">
        <v>27</v>
      </c>
      <c r="C24" s="24" t="s">
        <v>164</v>
      </c>
      <c r="D24" s="24"/>
      <c r="E24" s="24"/>
      <c r="F24" s="24"/>
      <c r="G24" s="25"/>
      <c r="H24" s="25"/>
      <c r="I24" s="25"/>
      <c r="J24" s="25"/>
      <c r="K24" s="25"/>
      <c r="L24" s="25"/>
      <c r="M24" s="25"/>
      <c r="N24" s="25"/>
      <c r="O24" s="25"/>
      <c r="P24" s="25"/>
      <c r="Q24" s="25"/>
      <c r="R24" s="25"/>
      <c r="S24" s="25"/>
      <c r="T24" s="25"/>
      <c r="U24" s="25"/>
      <c r="V24" s="25"/>
      <c r="W24" s="25"/>
      <c r="X24" s="25"/>
      <c r="Y24" s="25"/>
      <c r="Z24" s="25"/>
      <c r="AA24" s="25"/>
    </row>
    <row r="25">
      <c r="A25" s="24"/>
      <c r="B25" s="24" t="s">
        <v>28</v>
      </c>
      <c r="C25" s="24" t="s">
        <v>165</v>
      </c>
      <c r="D25" s="24"/>
      <c r="E25" s="24"/>
      <c r="F25" s="24"/>
      <c r="G25" s="25"/>
      <c r="H25" s="25"/>
      <c r="I25" s="25"/>
      <c r="J25" s="25"/>
      <c r="K25" s="25"/>
      <c r="L25" s="25"/>
      <c r="M25" s="25"/>
      <c r="N25" s="25"/>
      <c r="O25" s="25"/>
      <c r="P25" s="25"/>
      <c r="Q25" s="25"/>
      <c r="R25" s="25"/>
      <c r="S25" s="25"/>
      <c r="T25" s="25"/>
      <c r="U25" s="25"/>
      <c r="V25" s="25"/>
      <c r="W25" s="25"/>
      <c r="X25" s="25"/>
      <c r="Y25" s="25"/>
      <c r="Z25" s="25"/>
      <c r="AA25" s="25"/>
    </row>
    <row r="26">
      <c r="A26" s="24"/>
      <c r="B26" s="24" t="s">
        <v>29</v>
      </c>
      <c r="C26" s="24" t="s">
        <v>166</v>
      </c>
      <c r="D26" s="26" t="s">
        <v>6</v>
      </c>
      <c r="E26" s="24" t="s">
        <v>402</v>
      </c>
      <c r="F26" s="24" t="s">
        <v>403</v>
      </c>
      <c r="G26" s="24"/>
      <c r="H26" s="25"/>
      <c r="I26" s="25"/>
      <c r="J26" s="25"/>
      <c r="K26" s="25"/>
      <c r="L26" s="25"/>
      <c r="M26" s="25"/>
      <c r="N26" s="25"/>
      <c r="O26" s="25"/>
      <c r="P26" s="25"/>
      <c r="Q26" s="25"/>
      <c r="R26" s="25"/>
      <c r="S26" s="25"/>
      <c r="T26" s="25"/>
      <c r="U26" s="25"/>
      <c r="V26" s="25"/>
      <c r="W26" s="25"/>
      <c r="X26" s="25"/>
      <c r="Y26" s="25"/>
      <c r="Z26" s="25"/>
      <c r="AA26" s="25"/>
    </row>
    <row r="27">
      <c r="A27" s="24"/>
      <c r="B27" s="24" t="s">
        <v>30</v>
      </c>
      <c r="C27" s="24" t="s">
        <v>168</v>
      </c>
      <c r="D27" s="24"/>
      <c r="E27" s="24"/>
      <c r="F27" s="24"/>
      <c r="G27" s="25"/>
      <c r="H27" s="25"/>
      <c r="I27" s="25"/>
      <c r="J27" s="25"/>
      <c r="K27" s="25"/>
      <c r="L27" s="25"/>
      <c r="M27" s="25"/>
      <c r="N27" s="25"/>
      <c r="O27" s="25"/>
      <c r="P27" s="25"/>
      <c r="Q27" s="25"/>
      <c r="R27" s="25"/>
      <c r="S27" s="25"/>
      <c r="T27" s="25"/>
      <c r="U27" s="25"/>
      <c r="V27" s="25"/>
      <c r="W27" s="25"/>
      <c r="X27" s="25"/>
      <c r="Y27" s="25"/>
      <c r="Z27" s="25"/>
      <c r="AA27" s="25"/>
    </row>
    <row r="28">
      <c r="A28" s="24"/>
      <c r="B28" s="24" t="s">
        <v>31</v>
      </c>
      <c r="C28" s="24" t="s">
        <v>169</v>
      </c>
      <c r="D28" s="27" t="s">
        <v>326</v>
      </c>
      <c r="E28" s="24" t="s">
        <v>404</v>
      </c>
      <c r="F28" s="24"/>
      <c r="G28" s="24"/>
      <c r="H28" s="25"/>
      <c r="I28" s="25"/>
      <c r="J28" s="25"/>
      <c r="K28" s="25"/>
      <c r="L28" s="25"/>
      <c r="M28" s="25"/>
      <c r="N28" s="25"/>
      <c r="O28" s="25"/>
      <c r="P28" s="25"/>
      <c r="Q28" s="25"/>
      <c r="R28" s="25"/>
      <c r="S28" s="25"/>
      <c r="T28" s="25"/>
      <c r="U28" s="25"/>
      <c r="V28" s="25"/>
      <c r="W28" s="25"/>
      <c r="X28" s="25"/>
      <c r="Y28" s="25"/>
      <c r="Z28" s="25"/>
      <c r="AA28" s="25"/>
    </row>
    <row r="29">
      <c r="A29" s="24"/>
      <c r="B29" s="24" t="s">
        <v>33</v>
      </c>
      <c r="C29" s="24" t="s">
        <v>171</v>
      </c>
      <c r="D29" s="24"/>
      <c r="E29" s="24"/>
      <c r="F29" s="24"/>
      <c r="G29" s="25"/>
      <c r="H29" s="25"/>
      <c r="I29" s="25"/>
      <c r="J29" s="25"/>
      <c r="K29" s="25"/>
      <c r="L29" s="25"/>
      <c r="M29" s="25"/>
      <c r="N29" s="25"/>
      <c r="O29" s="25"/>
      <c r="P29" s="25"/>
      <c r="Q29" s="25"/>
      <c r="R29" s="25"/>
      <c r="S29" s="25"/>
      <c r="T29" s="25"/>
      <c r="U29" s="25"/>
      <c r="V29" s="25"/>
      <c r="W29" s="25"/>
      <c r="X29" s="25"/>
      <c r="Y29" s="25"/>
      <c r="Z29" s="25"/>
      <c r="AA29" s="25"/>
    </row>
    <row r="30">
      <c r="A30" s="24"/>
      <c r="B30" s="24" t="s">
        <v>34</v>
      </c>
      <c r="C30" s="24" t="s">
        <v>172</v>
      </c>
      <c r="D30" s="25"/>
      <c r="E30" s="25"/>
      <c r="F30" s="25"/>
      <c r="G30" s="25"/>
      <c r="H30" s="25"/>
      <c r="I30" s="25"/>
      <c r="J30" s="25"/>
      <c r="K30" s="25"/>
      <c r="L30" s="25"/>
      <c r="M30" s="25"/>
      <c r="N30" s="25"/>
      <c r="O30" s="25"/>
      <c r="P30" s="25"/>
      <c r="Q30" s="25"/>
      <c r="R30" s="25"/>
      <c r="S30" s="25"/>
      <c r="T30" s="25"/>
      <c r="U30" s="25"/>
      <c r="V30" s="25"/>
      <c r="W30" s="25"/>
      <c r="X30" s="25"/>
      <c r="Y30" s="25"/>
      <c r="Z30" s="25"/>
      <c r="AA30" s="25"/>
    </row>
    <row r="31">
      <c r="A31" s="30" t="s">
        <v>35</v>
      </c>
      <c r="B31" s="30" t="s">
        <v>405</v>
      </c>
      <c r="C31" s="30" t="s">
        <v>311</v>
      </c>
      <c r="D31" s="24"/>
      <c r="E31" s="24"/>
      <c r="F31" s="24"/>
      <c r="G31" s="31"/>
      <c r="H31" s="25"/>
      <c r="I31" s="25"/>
      <c r="J31" s="25"/>
      <c r="K31" s="25"/>
      <c r="L31" s="25"/>
      <c r="M31" s="25"/>
      <c r="N31" s="25"/>
      <c r="O31" s="25"/>
      <c r="P31" s="25"/>
      <c r="Q31" s="25"/>
      <c r="R31" s="25"/>
      <c r="S31" s="25"/>
      <c r="T31" s="25"/>
      <c r="U31" s="25"/>
      <c r="V31" s="25"/>
      <c r="W31" s="25"/>
      <c r="X31" s="25"/>
      <c r="Y31" s="25"/>
      <c r="Z31" s="25"/>
      <c r="AA31" s="25"/>
    </row>
    <row r="32">
      <c r="A32" s="24"/>
      <c r="B32" s="24" t="s">
        <v>36</v>
      </c>
      <c r="C32" s="24" t="s">
        <v>312</v>
      </c>
      <c r="D32" s="26" t="s">
        <v>406</v>
      </c>
      <c r="E32" s="24" t="s">
        <v>407</v>
      </c>
      <c r="F32" s="24" t="s">
        <v>408</v>
      </c>
      <c r="G32" s="25"/>
      <c r="H32" s="25"/>
      <c r="I32" s="25"/>
      <c r="J32" s="25"/>
      <c r="K32" s="25"/>
      <c r="L32" s="25"/>
      <c r="M32" s="25"/>
      <c r="N32" s="25"/>
      <c r="O32" s="25"/>
      <c r="P32" s="25"/>
      <c r="Q32" s="25"/>
      <c r="R32" s="25"/>
      <c r="S32" s="25"/>
      <c r="T32" s="25"/>
      <c r="U32" s="25"/>
      <c r="V32" s="25"/>
      <c r="W32" s="25"/>
      <c r="X32" s="25"/>
      <c r="Y32" s="25"/>
      <c r="Z32" s="25"/>
      <c r="AA32" s="25"/>
    </row>
    <row r="33">
      <c r="A33" s="24"/>
      <c r="B33" s="24" t="s">
        <v>37</v>
      </c>
      <c r="C33" s="24" t="s">
        <v>313</v>
      </c>
      <c r="D33" s="26" t="s">
        <v>6</v>
      </c>
      <c r="E33" s="24" t="s">
        <v>409</v>
      </c>
      <c r="F33" s="24" t="s">
        <v>410</v>
      </c>
      <c r="G33" s="24"/>
      <c r="H33" s="25"/>
      <c r="I33" s="25"/>
      <c r="J33" s="25"/>
      <c r="K33" s="25"/>
      <c r="L33" s="25"/>
      <c r="M33" s="25"/>
      <c r="N33" s="25"/>
      <c r="O33" s="25"/>
      <c r="P33" s="25"/>
      <c r="Q33" s="25"/>
      <c r="R33" s="25"/>
      <c r="S33" s="25"/>
      <c r="T33" s="25"/>
      <c r="U33" s="25"/>
      <c r="V33" s="25"/>
      <c r="W33" s="25"/>
      <c r="X33" s="25"/>
      <c r="Y33" s="25"/>
      <c r="Z33" s="25"/>
      <c r="AA33" s="25"/>
    </row>
    <row r="34">
      <c r="A34" s="24"/>
      <c r="B34" s="24" t="s">
        <v>38</v>
      </c>
      <c r="C34" s="24" t="s">
        <v>314</v>
      </c>
      <c r="D34" s="26" t="s">
        <v>6</v>
      </c>
      <c r="E34" s="24" t="s">
        <v>411</v>
      </c>
      <c r="F34" s="24" t="s">
        <v>412</v>
      </c>
      <c r="G34" s="25"/>
      <c r="H34" s="25"/>
      <c r="I34" s="25"/>
      <c r="J34" s="25"/>
      <c r="K34" s="25"/>
      <c r="L34" s="25"/>
      <c r="M34" s="25"/>
      <c r="N34" s="25"/>
      <c r="O34" s="25"/>
      <c r="P34" s="25"/>
      <c r="Q34" s="25"/>
      <c r="R34" s="25"/>
      <c r="S34" s="25"/>
      <c r="T34" s="25"/>
      <c r="U34" s="25"/>
      <c r="V34" s="25"/>
      <c r="W34" s="25"/>
      <c r="X34" s="25"/>
      <c r="Y34" s="25"/>
      <c r="Z34" s="25"/>
      <c r="AA34" s="25"/>
    </row>
    <row r="35">
      <c r="A35" s="24"/>
      <c r="B35" s="24" t="s">
        <v>39</v>
      </c>
      <c r="C35" s="24" t="s">
        <v>315</v>
      </c>
      <c r="D35" s="24"/>
      <c r="E35" s="25"/>
      <c r="F35" s="24"/>
      <c r="G35" s="25"/>
      <c r="H35" s="25"/>
      <c r="I35" s="25"/>
      <c r="J35" s="25"/>
      <c r="K35" s="25"/>
      <c r="L35" s="25"/>
      <c r="M35" s="25"/>
      <c r="N35" s="25"/>
      <c r="O35" s="25"/>
      <c r="P35" s="25"/>
      <c r="Q35" s="25"/>
      <c r="R35" s="25"/>
      <c r="S35" s="25"/>
      <c r="T35" s="25"/>
      <c r="U35" s="25"/>
      <c r="V35" s="25"/>
      <c r="W35" s="25"/>
      <c r="X35" s="25"/>
      <c r="Y35" s="25"/>
      <c r="Z35" s="25"/>
      <c r="AA35" s="25"/>
    </row>
    <row r="36">
      <c r="A36" s="24"/>
      <c r="B36" s="24" t="s">
        <v>316</v>
      </c>
      <c r="C36" s="24" t="s">
        <v>317</v>
      </c>
      <c r="D36" s="24"/>
      <c r="E36" s="25"/>
      <c r="F36" s="24"/>
      <c r="G36" s="25"/>
      <c r="H36" s="25"/>
      <c r="I36" s="25"/>
      <c r="J36" s="25"/>
      <c r="K36" s="25"/>
      <c r="L36" s="25"/>
      <c r="M36" s="25"/>
      <c r="N36" s="25"/>
      <c r="O36" s="25"/>
      <c r="P36" s="25"/>
      <c r="Q36" s="25"/>
      <c r="R36" s="25"/>
      <c r="S36" s="25"/>
      <c r="T36" s="25"/>
      <c r="U36" s="25"/>
      <c r="V36" s="25"/>
      <c r="W36" s="25"/>
      <c r="X36" s="25"/>
      <c r="Y36" s="25"/>
      <c r="Z36" s="25"/>
      <c r="AA36" s="25"/>
    </row>
    <row r="37">
      <c r="A37" s="24" t="s">
        <v>40</v>
      </c>
      <c r="B37" s="25"/>
      <c r="C37" s="24" t="s">
        <v>173</v>
      </c>
      <c r="D37" s="25"/>
      <c r="E37" s="25"/>
      <c r="F37" s="25"/>
      <c r="G37" s="25"/>
      <c r="H37" s="25"/>
      <c r="I37" s="25"/>
      <c r="J37" s="25"/>
      <c r="K37" s="25"/>
      <c r="L37" s="25"/>
      <c r="M37" s="25"/>
      <c r="N37" s="25"/>
      <c r="O37" s="25"/>
      <c r="P37" s="25"/>
      <c r="Q37" s="25"/>
      <c r="R37" s="25"/>
      <c r="S37" s="25"/>
      <c r="T37" s="25"/>
      <c r="U37" s="25"/>
      <c r="V37" s="25"/>
      <c r="W37" s="25"/>
      <c r="X37" s="25"/>
      <c r="Y37" s="25"/>
      <c r="Z37" s="25"/>
      <c r="AA37" s="25"/>
    </row>
    <row r="38">
      <c r="A38" s="24"/>
      <c r="B38" s="24" t="s">
        <v>41</v>
      </c>
      <c r="C38" s="24" t="s">
        <v>174</v>
      </c>
      <c r="D38" s="25"/>
      <c r="E38" s="25"/>
      <c r="F38" s="25"/>
      <c r="G38" s="25"/>
      <c r="H38" s="25"/>
      <c r="I38" s="25"/>
      <c r="J38" s="25"/>
      <c r="K38" s="25"/>
      <c r="L38" s="25"/>
      <c r="M38" s="25"/>
      <c r="N38" s="25"/>
      <c r="O38" s="25"/>
      <c r="P38" s="25"/>
      <c r="Q38" s="25"/>
      <c r="R38" s="25"/>
      <c r="S38" s="25"/>
      <c r="T38" s="25"/>
      <c r="U38" s="25"/>
      <c r="V38" s="25"/>
      <c r="W38" s="25"/>
      <c r="X38" s="25"/>
      <c r="Y38" s="25"/>
      <c r="Z38" s="25"/>
      <c r="AA38" s="25"/>
    </row>
    <row r="39">
      <c r="A39" s="24"/>
      <c r="B39" s="24" t="s">
        <v>42</v>
      </c>
      <c r="C39" s="24" t="s">
        <v>318</v>
      </c>
      <c r="D39" s="25"/>
      <c r="E39" s="25"/>
      <c r="F39" s="25"/>
      <c r="G39" s="25"/>
      <c r="H39" s="25"/>
      <c r="I39" s="25"/>
      <c r="J39" s="25"/>
      <c r="K39" s="25"/>
      <c r="L39" s="25"/>
      <c r="M39" s="25"/>
      <c r="N39" s="25"/>
      <c r="O39" s="25"/>
      <c r="P39" s="25"/>
      <c r="Q39" s="25"/>
      <c r="R39" s="25"/>
      <c r="S39" s="25"/>
      <c r="T39" s="25"/>
      <c r="U39" s="25"/>
      <c r="V39" s="25"/>
      <c r="W39" s="25"/>
      <c r="X39" s="25"/>
      <c r="Y39" s="25"/>
      <c r="Z39" s="25"/>
      <c r="AA39" s="25"/>
    </row>
    <row r="40">
      <c r="A40" s="24"/>
      <c r="B40" s="24" t="s">
        <v>43</v>
      </c>
      <c r="C40" s="24" t="s">
        <v>180</v>
      </c>
      <c r="D40" s="25"/>
      <c r="E40" s="25"/>
      <c r="F40" s="25"/>
      <c r="G40" s="25"/>
      <c r="H40" s="25"/>
      <c r="I40" s="25"/>
      <c r="J40" s="25"/>
      <c r="K40" s="25"/>
      <c r="L40" s="25"/>
      <c r="M40" s="25"/>
      <c r="N40" s="25"/>
      <c r="O40" s="25"/>
      <c r="P40" s="25"/>
      <c r="Q40" s="25"/>
      <c r="R40" s="25"/>
      <c r="S40" s="25"/>
      <c r="T40" s="25"/>
      <c r="U40" s="25"/>
      <c r="V40" s="25"/>
      <c r="W40" s="25"/>
      <c r="X40" s="25"/>
      <c r="Y40" s="25"/>
      <c r="Z40" s="25"/>
      <c r="AA40" s="25"/>
    </row>
    <row r="41">
      <c r="A41" s="24"/>
      <c r="B41" s="24" t="s">
        <v>44</v>
      </c>
      <c r="C41" s="24" t="s">
        <v>181</v>
      </c>
      <c r="D41" s="25"/>
      <c r="E41" s="25"/>
      <c r="F41" s="25"/>
      <c r="G41" s="25"/>
      <c r="H41" s="25"/>
      <c r="I41" s="25"/>
      <c r="J41" s="25"/>
      <c r="K41" s="25"/>
      <c r="L41" s="25"/>
      <c r="M41" s="25"/>
      <c r="N41" s="25"/>
      <c r="O41" s="25"/>
      <c r="P41" s="25"/>
      <c r="Q41" s="25"/>
      <c r="R41" s="25"/>
      <c r="S41" s="25"/>
      <c r="T41" s="25"/>
      <c r="U41" s="25"/>
      <c r="V41" s="25"/>
      <c r="W41" s="25"/>
      <c r="X41" s="25"/>
      <c r="Y41" s="25"/>
      <c r="Z41" s="25"/>
      <c r="AA41" s="25"/>
    </row>
    <row r="42">
      <c r="A42" s="24"/>
      <c r="B42" s="24" t="s">
        <v>45</v>
      </c>
      <c r="C42" s="24" t="s">
        <v>184</v>
      </c>
      <c r="D42" s="25"/>
      <c r="E42" s="25"/>
      <c r="F42" s="25"/>
      <c r="G42" s="25"/>
      <c r="H42" s="25"/>
      <c r="I42" s="25"/>
      <c r="J42" s="25"/>
      <c r="K42" s="25"/>
      <c r="L42" s="25"/>
      <c r="M42" s="25"/>
      <c r="N42" s="25"/>
      <c r="O42" s="25"/>
      <c r="P42" s="25"/>
      <c r="Q42" s="25"/>
      <c r="R42" s="25"/>
      <c r="S42" s="25"/>
      <c r="T42" s="25"/>
      <c r="U42" s="25"/>
      <c r="V42" s="25"/>
      <c r="W42" s="25"/>
      <c r="X42" s="25"/>
      <c r="Y42" s="25"/>
      <c r="Z42" s="25"/>
      <c r="AA42" s="25"/>
    </row>
    <row r="43">
      <c r="A43" s="24"/>
      <c r="B43" s="24" t="s">
        <v>46</v>
      </c>
      <c r="C43" s="24" t="s">
        <v>185</v>
      </c>
      <c r="D43" s="25"/>
      <c r="E43" s="25"/>
      <c r="F43" s="25"/>
      <c r="G43" s="25"/>
      <c r="H43" s="25"/>
      <c r="I43" s="25"/>
      <c r="J43" s="25"/>
      <c r="K43" s="25"/>
      <c r="L43" s="25"/>
      <c r="M43" s="25"/>
      <c r="N43" s="25"/>
      <c r="O43" s="25"/>
      <c r="P43" s="25"/>
      <c r="Q43" s="25"/>
      <c r="R43" s="25"/>
      <c r="S43" s="25"/>
      <c r="T43" s="25"/>
      <c r="U43" s="25"/>
      <c r="V43" s="25"/>
      <c r="W43" s="25"/>
      <c r="X43" s="25"/>
      <c r="Y43" s="25"/>
      <c r="Z43" s="25"/>
      <c r="AA43" s="25"/>
    </row>
    <row r="44">
      <c r="A44" s="24" t="s">
        <v>47</v>
      </c>
      <c r="B44" s="25"/>
      <c r="C44" s="24" t="s">
        <v>186</v>
      </c>
      <c r="D44" s="25"/>
      <c r="E44" s="25"/>
      <c r="F44" s="25"/>
      <c r="G44" s="25"/>
      <c r="H44" s="25"/>
      <c r="I44" s="25"/>
      <c r="J44" s="25"/>
      <c r="K44" s="25"/>
      <c r="L44" s="25"/>
      <c r="M44" s="25"/>
      <c r="N44" s="25"/>
      <c r="O44" s="25"/>
      <c r="P44" s="25"/>
      <c r="Q44" s="25"/>
      <c r="R44" s="25"/>
      <c r="S44" s="25"/>
      <c r="T44" s="25"/>
      <c r="U44" s="25"/>
      <c r="V44" s="25"/>
      <c r="W44" s="25"/>
      <c r="X44" s="25"/>
      <c r="Y44" s="25"/>
      <c r="Z44" s="25"/>
      <c r="AA44" s="25"/>
    </row>
    <row r="45">
      <c r="B45" s="24" t="s">
        <v>48</v>
      </c>
      <c r="C45" s="24" t="s">
        <v>319</v>
      </c>
      <c r="D45" s="25"/>
      <c r="E45" s="25"/>
      <c r="F45" s="25"/>
      <c r="G45" s="25"/>
      <c r="H45" s="25"/>
      <c r="I45" s="25"/>
      <c r="J45" s="25"/>
      <c r="K45" s="25"/>
      <c r="L45" s="25"/>
      <c r="M45" s="25"/>
      <c r="N45" s="25"/>
      <c r="O45" s="25"/>
      <c r="P45" s="25"/>
      <c r="Q45" s="25"/>
      <c r="R45" s="25"/>
      <c r="S45" s="25"/>
      <c r="T45" s="25"/>
      <c r="U45" s="25"/>
      <c r="V45" s="25"/>
      <c r="W45" s="25"/>
      <c r="X45" s="25"/>
      <c r="Y45" s="25"/>
      <c r="Z45" s="25"/>
      <c r="AA45" s="25"/>
    </row>
    <row r="46">
      <c r="B46" s="24" t="s">
        <v>49</v>
      </c>
      <c r="C46" s="24" t="s">
        <v>320</v>
      </c>
      <c r="D46" s="25"/>
      <c r="E46" s="25"/>
      <c r="F46" s="25"/>
      <c r="G46" s="25"/>
      <c r="H46" s="25"/>
      <c r="I46" s="25"/>
      <c r="J46" s="25"/>
      <c r="K46" s="25"/>
      <c r="L46" s="25"/>
      <c r="M46" s="25"/>
      <c r="N46" s="25"/>
      <c r="O46" s="25"/>
      <c r="P46" s="25"/>
      <c r="Q46" s="25"/>
      <c r="R46" s="25"/>
      <c r="S46" s="25"/>
      <c r="T46" s="25"/>
      <c r="U46" s="25"/>
      <c r="V46" s="25"/>
      <c r="W46" s="25"/>
      <c r="X46" s="25"/>
      <c r="Y46" s="25"/>
      <c r="Z46" s="25"/>
      <c r="AA46" s="25"/>
    </row>
    <row r="47">
      <c r="B47" s="24" t="s">
        <v>50</v>
      </c>
      <c r="C47" s="24" t="s">
        <v>323</v>
      </c>
      <c r="D47" s="26" t="s">
        <v>6</v>
      </c>
      <c r="E47" s="24" t="s">
        <v>413</v>
      </c>
      <c r="F47" s="25"/>
      <c r="G47" s="25"/>
      <c r="H47" s="25"/>
      <c r="I47" s="25"/>
      <c r="J47" s="25"/>
      <c r="K47" s="25"/>
      <c r="L47" s="25"/>
      <c r="M47" s="25"/>
      <c r="N47" s="25"/>
      <c r="O47" s="25"/>
      <c r="P47" s="25"/>
      <c r="Q47" s="25"/>
      <c r="R47" s="25"/>
      <c r="S47" s="25"/>
      <c r="T47" s="25"/>
      <c r="U47" s="25"/>
      <c r="V47" s="25"/>
      <c r="W47" s="25"/>
      <c r="X47" s="25"/>
      <c r="Y47" s="25"/>
      <c r="Z47" s="25"/>
      <c r="AA47" s="25"/>
    </row>
    <row r="48">
      <c r="B48" s="24" t="s">
        <v>51</v>
      </c>
      <c r="C48" s="24" t="s">
        <v>324</v>
      </c>
      <c r="D48" s="26" t="s">
        <v>6</v>
      </c>
      <c r="E48" s="25"/>
      <c r="F48" s="25"/>
      <c r="G48" s="25"/>
      <c r="H48" s="25"/>
      <c r="I48" s="25"/>
      <c r="J48" s="25"/>
      <c r="K48" s="25"/>
      <c r="L48" s="25"/>
      <c r="M48" s="25"/>
      <c r="N48" s="25"/>
      <c r="O48" s="25"/>
      <c r="P48" s="25"/>
      <c r="Q48" s="25"/>
      <c r="R48" s="25"/>
      <c r="S48" s="25"/>
      <c r="T48" s="25"/>
      <c r="U48" s="25"/>
      <c r="V48" s="25"/>
      <c r="W48" s="25"/>
      <c r="X48" s="25"/>
      <c r="Y48" s="25"/>
      <c r="Z48" s="25"/>
      <c r="AA48" s="25"/>
    </row>
    <row r="49">
      <c r="B49" s="24" t="s">
        <v>52</v>
      </c>
      <c r="C49" s="24" t="s">
        <v>195</v>
      </c>
      <c r="D49" s="25"/>
      <c r="E49" s="25"/>
      <c r="F49" s="25"/>
      <c r="G49" s="25"/>
      <c r="H49" s="25"/>
      <c r="I49" s="25"/>
      <c r="J49" s="25"/>
      <c r="K49" s="25"/>
      <c r="L49" s="25"/>
      <c r="M49" s="25"/>
      <c r="N49" s="25"/>
      <c r="O49" s="25"/>
      <c r="P49" s="25"/>
      <c r="Q49" s="25"/>
      <c r="R49" s="25"/>
      <c r="S49" s="25"/>
      <c r="T49" s="25"/>
      <c r="U49" s="25"/>
      <c r="V49" s="25"/>
      <c r="W49" s="25"/>
      <c r="X49" s="25"/>
      <c r="Y49" s="25"/>
      <c r="Z49" s="25"/>
      <c r="AA49" s="25"/>
    </row>
    <row r="50" ht="82.5" customHeight="1">
      <c r="A50" s="24" t="s">
        <v>56</v>
      </c>
      <c r="B50" s="25"/>
      <c r="C50" s="24" t="s">
        <v>204</v>
      </c>
      <c r="D50" s="24"/>
      <c r="E50" s="24"/>
      <c r="F50" s="24"/>
      <c r="G50" s="24"/>
      <c r="H50" s="25"/>
      <c r="I50" s="25"/>
      <c r="J50" s="25"/>
      <c r="K50" s="25"/>
      <c r="L50" s="25"/>
      <c r="M50" s="25"/>
      <c r="N50" s="25"/>
      <c r="O50" s="25"/>
      <c r="P50" s="25"/>
      <c r="Q50" s="25"/>
      <c r="R50" s="25"/>
      <c r="S50" s="25"/>
      <c r="T50" s="25"/>
      <c r="U50" s="25"/>
      <c r="V50" s="25"/>
      <c r="W50" s="25"/>
      <c r="X50" s="25"/>
      <c r="Y50" s="25"/>
      <c r="Z50" s="25"/>
      <c r="AA50" s="25"/>
    </row>
    <row r="51" ht="82.5" customHeight="1">
      <c r="A51" s="24"/>
      <c r="B51" s="24" t="s">
        <v>57</v>
      </c>
      <c r="C51" s="29" t="s">
        <v>208</v>
      </c>
      <c r="D51" s="26" t="s">
        <v>6</v>
      </c>
      <c r="E51" s="24" t="s">
        <v>414</v>
      </c>
      <c r="F51" s="24" t="s">
        <v>415</v>
      </c>
      <c r="G51" s="24"/>
      <c r="H51" s="25"/>
      <c r="I51" s="25"/>
      <c r="J51" s="25"/>
      <c r="K51" s="25"/>
      <c r="L51" s="25"/>
      <c r="M51" s="25"/>
      <c r="N51" s="25"/>
      <c r="O51" s="25"/>
      <c r="P51" s="25"/>
      <c r="Q51" s="25"/>
      <c r="R51" s="25"/>
      <c r="S51" s="25"/>
      <c r="T51" s="25"/>
      <c r="U51" s="25"/>
      <c r="V51" s="25"/>
      <c r="W51" s="25"/>
      <c r="X51" s="25"/>
      <c r="Y51" s="25"/>
      <c r="Z51" s="25"/>
      <c r="AA51" s="25"/>
    </row>
    <row r="52" ht="82.5" customHeight="1">
      <c r="A52" s="24" t="s">
        <v>325</v>
      </c>
      <c r="B52" s="24" t="s">
        <v>58</v>
      </c>
      <c r="C52" s="24" t="s">
        <v>210</v>
      </c>
      <c r="D52" s="27" t="s">
        <v>326</v>
      </c>
      <c r="E52" s="24" t="s">
        <v>416</v>
      </c>
      <c r="F52" s="24" t="s">
        <v>417</v>
      </c>
      <c r="G52" s="24"/>
      <c r="H52" s="25"/>
      <c r="I52" s="25"/>
      <c r="J52" s="25"/>
      <c r="K52" s="25"/>
      <c r="L52" s="25"/>
      <c r="M52" s="25"/>
      <c r="N52" s="25"/>
      <c r="O52" s="25"/>
      <c r="P52" s="25"/>
      <c r="Q52" s="25"/>
      <c r="R52" s="25"/>
      <c r="S52" s="25"/>
      <c r="T52" s="25"/>
      <c r="U52" s="25"/>
      <c r="V52" s="25"/>
      <c r="W52" s="25"/>
      <c r="X52" s="25"/>
      <c r="Y52" s="25"/>
      <c r="Z52" s="25"/>
      <c r="AA52" s="25"/>
    </row>
    <row r="53" ht="82.5" customHeight="1">
      <c r="A53" s="24"/>
      <c r="B53" s="24" t="s">
        <v>59</v>
      </c>
      <c r="C53" s="24" t="s">
        <v>211</v>
      </c>
      <c r="D53" s="26" t="s">
        <v>418</v>
      </c>
      <c r="E53" s="24" t="s">
        <v>419</v>
      </c>
      <c r="F53" s="24" t="s">
        <v>420</v>
      </c>
      <c r="G53" s="24"/>
      <c r="H53" s="25"/>
      <c r="I53" s="25"/>
      <c r="J53" s="25"/>
      <c r="K53" s="25"/>
      <c r="L53" s="25"/>
      <c r="M53" s="25"/>
      <c r="N53" s="25"/>
      <c r="O53" s="25"/>
      <c r="P53" s="25"/>
      <c r="Q53" s="25"/>
      <c r="R53" s="25"/>
      <c r="S53" s="25"/>
      <c r="T53" s="25"/>
      <c r="U53" s="25"/>
      <c r="V53" s="25"/>
      <c r="W53" s="25"/>
      <c r="X53" s="25"/>
      <c r="Y53" s="25"/>
      <c r="Z53" s="25"/>
      <c r="AA53" s="25"/>
    </row>
    <row r="54" ht="82.5" customHeight="1">
      <c r="A54" s="24"/>
      <c r="B54" s="24" t="s">
        <v>60</v>
      </c>
      <c r="C54" s="24" t="s">
        <v>213</v>
      </c>
      <c r="D54" s="27" t="s">
        <v>326</v>
      </c>
      <c r="E54" s="24" t="s">
        <v>421</v>
      </c>
      <c r="F54" s="24"/>
      <c r="G54" s="24"/>
      <c r="H54" s="25"/>
      <c r="I54" s="25"/>
      <c r="J54" s="25"/>
      <c r="K54" s="25"/>
      <c r="L54" s="25"/>
      <c r="M54" s="25"/>
      <c r="N54" s="25"/>
      <c r="O54" s="25"/>
      <c r="P54" s="25"/>
      <c r="Q54" s="25"/>
      <c r="R54" s="25"/>
      <c r="S54" s="25"/>
      <c r="T54" s="25"/>
      <c r="U54" s="25"/>
      <c r="V54" s="25"/>
      <c r="W54" s="25"/>
      <c r="X54" s="25"/>
      <c r="Y54" s="25"/>
      <c r="Z54" s="25"/>
      <c r="AA54" s="25"/>
    </row>
    <row r="55" ht="82.5" customHeight="1">
      <c r="A55" s="24"/>
      <c r="B55" s="24" t="s">
        <v>61</v>
      </c>
      <c r="C55" s="24" t="s">
        <v>422</v>
      </c>
      <c r="D55" s="27" t="s">
        <v>326</v>
      </c>
      <c r="E55" s="24" t="s">
        <v>423</v>
      </c>
      <c r="F55" s="24"/>
      <c r="G55" s="24"/>
      <c r="H55" s="25"/>
      <c r="I55" s="25"/>
      <c r="J55" s="25"/>
      <c r="K55" s="25"/>
      <c r="L55" s="25"/>
      <c r="M55" s="25"/>
      <c r="N55" s="25"/>
      <c r="O55" s="25"/>
      <c r="P55" s="25"/>
      <c r="Q55" s="25"/>
      <c r="R55" s="25"/>
      <c r="S55" s="25"/>
      <c r="T55" s="25"/>
      <c r="U55" s="25"/>
      <c r="V55" s="25"/>
      <c r="W55" s="25"/>
      <c r="X55" s="25"/>
      <c r="Y55" s="25"/>
      <c r="Z55" s="25"/>
      <c r="AA55" s="25"/>
    </row>
    <row r="56" ht="82.5" customHeight="1">
      <c r="A56" s="25"/>
      <c r="B56" s="24" t="s">
        <v>62</v>
      </c>
      <c r="C56" s="24" t="s">
        <v>214</v>
      </c>
      <c r="D56" s="26" t="s">
        <v>418</v>
      </c>
      <c r="E56" s="24" t="s">
        <v>424</v>
      </c>
      <c r="F56" s="24" t="s">
        <v>425</v>
      </c>
      <c r="G56" s="24"/>
      <c r="H56" s="25"/>
      <c r="I56" s="25"/>
      <c r="J56" s="25"/>
      <c r="K56" s="25"/>
      <c r="L56" s="25"/>
      <c r="M56" s="25"/>
      <c r="N56" s="25"/>
      <c r="O56" s="25"/>
      <c r="P56" s="25"/>
      <c r="Q56" s="25"/>
      <c r="R56" s="25"/>
      <c r="S56" s="25"/>
      <c r="T56" s="25"/>
      <c r="U56" s="25"/>
      <c r="V56" s="25"/>
      <c r="W56" s="25"/>
      <c r="X56" s="25"/>
      <c r="Y56" s="25"/>
      <c r="Z56" s="25"/>
      <c r="AA56" s="25"/>
    </row>
    <row r="57" ht="82.5" customHeight="1">
      <c r="A57" s="24" t="s">
        <v>63</v>
      </c>
      <c r="B57" s="25"/>
      <c r="C57" s="24" t="s">
        <v>216</v>
      </c>
      <c r="D57" s="24"/>
      <c r="E57" s="24"/>
      <c r="F57" s="24"/>
      <c r="G57" s="24"/>
      <c r="H57" s="25"/>
      <c r="I57" s="25"/>
      <c r="J57" s="25"/>
      <c r="K57" s="25"/>
      <c r="L57" s="25"/>
      <c r="M57" s="25"/>
      <c r="N57" s="25"/>
      <c r="O57" s="25"/>
      <c r="P57" s="25"/>
      <c r="Q57" s="25"/>
      <c r="R57" s="25"/>
      <c r="S57" s="25"/>
      <c r="T57" s="25"/>
      <c r="U57" s="25"/>
      <c r="V57" s="25"/>
      <c r="W57" s="25"/>
      <c r="X57" s="25"/>
      <c r="Y57" s="25"/>
      <c r="Z57" s="25"/>
      <c r="AA57" s="25"/>
    </row>
    <row r="58" ht="82.5" customHeight="1">
      <c r="A58" s="24"/>
      <c r="B58" s="24" t="s">
        <v>64</v>
      </c>
      <c r="C58" s="24" t="s">
        <v>219</v>
      </c>
      <c r="D58" s="24"/>
      <c r="E58" s="24"/>
      <c r="F58" s="24"/>
      <c r="G58" s="24"/>
      <c r="H58" s="25"/>
      <c r="I58" s="25"/>
      <c r="J58" s="25"/>
      <c r="K58" s="25"/>
      <c r="L58" s="25"/>
      <c r="M58" s="25"/>
      <c r="N58" s="25"/>
      <c r="O58" s="25"/>
      <c r="P58" s="25"/>
      <c r="Q58" s="25"/>
      <c r="R58" s="25"/>
      <c r="S58" s="25"/>
      <c r="T58" s="25"/>
      <c r="U58" s="25"/>
      <c r="V58" s="25"/>
      <c r="W58" s="25"/>
      <c r="X58" s="25"/>
      <c r="Y58" s="25"/>
      <c r="Z58" s="25"/>
      <c r="AA58" s="25"/>
    </row>
    <row r="59" ht="82.5" customHeight="1">
      <c r="A59" s="24"/>
      <c r="B59" s="24" t="s">
        <v>65</v>
      </c>
      <c r="C59" s="24" t="s">
        <v>221</v>
      </c>
      <c r="D59" s="24"/>
      <c r="E59" s="24"/>
      <c r="F59" s="24"/>
      <c r="G59" s="24"/>
      <c r="H59" s="25"/>
      <c r="I59" s="25"/>
      <c r="J59" s="25"/>
      <c r="K59" s="25"/>
      <c r="L59" s="25"/>
      <c r="M59" s="25"/>
      <c r="N59" s="25"/>
      <c r="O59" s="25"/>
      <c r="P59" s="25"/>
      <c r="Q59" s="25"/>
      <c r="R59" s="25"/>
      <c r="S59" s="25"/>
      <c r="T59" s="25"/>
      <c r="U59" s="25"/>
      <c r="V59" s="25"/>
      <c r="W59" s="25"/>
      <c r="X59" s="25"/>
      <c r="Y59" s="25"/>
      <c r="Z59" s="25"/>
      <c r="AA59" s="25"/>
    </row>
    <row r="60" ht="82.5" customHeight="1">
      <c r="A60" s="24"/>
      <c r="B60" s="24" t="s">
        <v>66</v>
      </c>
      <c r="C60" s="24" t="s">
        <v>222</v>
      </c>
      <c r="D60" s="24"/>
      <c r="E60" s="24"/>
      <c r="F60" s="24"/>
      <c r="G60" s="24"/>
      <c r="H60" s="25"/>
      <c r="I60" s="25"/>
      <c r="J60" s="25"/>
      <c r="K60" s="25"/>
      <c r="L60" s="25"/>
      <c r="M60" s="25"/>
      <c r="N60" s="25"/>
      <c r="O60" s="25"/>
      <c r="P60" s="25"/>
      <c r="Q60" s="25"/>
      <c r="R60" s="25"/>
      <c r="S60" s="25"/>
      <c r="T60" s="25"/>
      <c r="U60" s="25"/>
      <c r="V60" s="25"/>
      <c r="W60" s="25"/>
      <c r="X60" s="25"/>
      <c r="Y60" s="25"/>
      <c r="Z60" s="25"/>
      <c r="AA60" s="25"/>
    </row>
    <row r="61" ht="82.5" customHeight="1">
      <c r="A61" s="30" t="s">
        <v>67</v>
      </c>
      <c r="B61" s="30"/>
      <c r="C61" s="30" t="s">
        <v>426</v>
      </c>
      <c r="D61" s="27" t="s">
        <v>326</v>
      </c>
      <c r="E61" s="24" t="s">
        <v>427</v>
      </c>
      <c r="F61" s="24" t="s">
        <v>428</v>
      </c>
      <c r="G61" s="24"/>
      <c r="H61" s="25"/>
      <c r="I61" s="25"/>
      <c r="J61" s="25"/>
      <c r="K61" s="25"/>
      <c r="L61" s="25"/>
      <c r="M61" s="25"/>
      <c r="N61" s="25"/>
      <c r="O61" s="25"/>
      <c r="P61" s="25"/>
      <c r="Q61" s="25"/>
      <c r="R61" s="25"/>
      <c r="S61" s="25"/>
      <c r="T61" s="25"/>
      <c r="U61" s="25"/>
      <c r="V61" s="25"/>
      <c r="W61" s="25"/>
      <c r="X61" s="25"/>
      <c r="Y61" s="25"/>
      <c r="Z61" s="25"/>
      <c r="AA61" s="25"/>
    </row>
    <row r="62" ht="82.5" customHeight="1">
      <c r="A62" s="24"/>
      <c r="B62" s="32" t="s">
        <v>68</v>
      </c>
      <c r="C62" s="24" t="s">
        <v>229</v>
      </c>
      <c r="D62" s="27" t="s">
        <v>326</v>
      </c>
      <c r="E62" s="24"/>
      <c r="F62" s="24"/>
      <c r="G62" s="24"/>
      <c r="H62" s="25"/>
      <c r="I62" s="25"/>
      <c r="J62" s="25"/>
      <c r="K62" s="25"/>
      <c r="L62" s="25"/>
      <c r="M62" s="25"/>
      <c r="N62" s="25"/>
      <c r="O62" s="25"/>
      <c r="P62" s="25"/>
      <c r="Q62" s="25"/>
      <c r="R62" s="25"/>
      <c r="S62" s="25"/>
      <c r="T62" s="25"/>
      <c r="U62" s="25"/>
      <c r="V62" s="25"/>
      <c r="W62" s="25"/>
      <c r="X62" s="25"/>
      <c r="Y62" s="25"/>
      <c r="Z62" s="25"/>
      <c r="AA62" s="25"/>
    </row>
    <row r="63" ht="82.5" customHeight="1">
      <c r="A63" s="24"/>
      <c r="B63" s="32" t="s">
        <v>69</v>
      </c>
      <c r="C63" s="24" t="s">
        <v>230</v>
      </c>
      <c r="D63" s="24"/>
      <c r="E63" s="24"/>
      <c r="F63" s="24"/>
      <c r="G63" s="24"/>
      <c r="H63" s="25"/>
      <c r="I63" s="25"/>
      <c r="J63" s="25"/>
      <c r="K63" s="25"/>
      <c r="L63" s="25"/>
      <c r="M63" s="25"/>
      <c r="N63" s="25"/>
      <c r="O63" s="25"/>
      <c r="P63" s="25"/>
      <c r="Q63" s="25"/>
      <c r="R63" s="25"/>
      <c r="S63" s="25"/>
      <c r="T63" s="25"/>
      <c r="U63" s="25"/>
      <c r="V63" s="25"/>
      <c r="W63" s="25"/>
      <c r="X63" s="25"/>
      <c r="Y63" s="25"/>
      <c r="Z63" s="25"/>
      <c r="AA63" s="25"/>
    </row>
    <row r="64" ht="82.5" customHeight="1">
      <c r="A64" s="24" t="s">
        <v>70</v>
      </c>
      <c r="B64" s="25"/>
      <c r="C64" s="24" t="s">
        <v>231</v>
      </c>
      <c r="D64" s="24"/>
      <c r="E64" s="24"/>
      <c r="F64" s="24"/>
      <c r="G64" s="24"/>
      <c r="H64" s="25"/>
      <c r="I64" s="25"/>
      <c r="J64" s="25"/>
      <c r="K64" s="25"/>
      <c r="L64" s="25"/>
      <c r="M64" s="25"/>
      <c r="N64" s="25"/>
      <c r="O64" s="25"/>
      <c r="P64" s="25"/>
      <c r="Q64" s="25"/>
      <c r="R64" s="25"/>
      <c r="S64" s="25"/>
      <c r="T64" s="25"/>
      <c r="U64" s="25"/>
      <c r="V64" s="25"/>
      <c r="W64" s="25"/>
      <c r="X64" s="25"/>
      <c r="Y64" s="25"/>
      <c r="Z64" s="25"/>
      <c r="AA64" s="25"/>
    </row>
    <row r="65" ht="51.75" customHeight="1">
      <c r="A65" s="24"/>
      <c r="B65" s="24" t="s">
        <v>71</v>
      </c>
      <c r="C65" s="24" t="s">
        <v>235</v>
      </c>
      <c r="D65" s="24"/>
      <c r="E65" s="25"/>
      <c r="F65" s="25"/>
      <c r="G65" s="24"/>
      <c r="H65" s="25"/>
      <c r="I65" s="25"/>
      <c r="J65" s="25"/>
      <c r="K65" s="25"/>
      <c r="L65" s="25"/>
      <c r="M65" s="25"/>
      <c r="N65" s="25"/>
      <c r="O65" s="25"/>
      <c r="P65" s="25"/>
      <c r="Q65" s="25"/>
      <c r="R65" s="25"/>
      <c r="S65" s="25"/>
      <c r="T65" s="25"/>
      <c r="U65" s="25"/>
      <c r="V65" s="25"/>
      <c r="W65" s="25"/>
      <c r="X65" s="25"/>
      <c r="Y65" s="25"/>
      <c r="Z65" s="25"/>
      <c r="AA65" s="25"/>
    </row>
    <row r="66" ht="78.75" customHeight="1">
      <c r="A66" s="24"/>
      <c r="B66" s="24" t="s">
        <v>72</v>
      </c>
      <c r="C66" s="24" t="s">
        <v>237</v>
      </c>
      <c r="D66" s="25"/>
      <c r="E66" s="25"/>
      <c r="F66" s="25"/>
      <c r="G66" s="24"/>
      <c r="H66" s="25"/>
      <c r="I66" s="25"/>
      <c r="J66" s="25"/>
      <c r="K66" s="25"/>
      <c r="L66" s="25"/>
      <c r="M66" s="25"/>
      <c r="N66" s="25"/>
      <c r="O66" s="25"/>
      <c r="P66" s="25"/>
      <c r="Q66" s="25"/>
      <c r="R66" s="25"/>
      <c r="S66" s="25"/>
      <c r="T66" s="25"/>
      <c r="U66" s="25"/>
      <c r="V66" s="25"/>
      <c r="W66" s="25"/>
      <c r="X66" s="25"/>
      <c r="Y66" s="25"/>
      <c r="Z66" s="25"/>
      <c r="AA66" s="25"/>
    </row>
    <row r="67">
      <c r="A67" s="24" t="s">
        <v>73</v>
      </c>
      <c r="B67" s="25"/>
      <c r="C67" s="24" t="s">
        <v>238</v>
      </c>
      <c r="D67" s="24"/>
      <c r="E67" s="24"/>
      <c r="F67" s="24"/>
      <c r="G67" s="24"/>
      <c r="H67" s="25"/>
      <c r="I67" s="25"/>
      <c r="J67" s="25"/>
      <c r="K67" s="25"/>
      <c r="L67" s="25"/>
      <c r="M67" s="25"/>
      <c r="N67" s="25"/>
      <c r="O67" s="25"/>
      <c r="P67" s="25"/>
      <c r="Q67" s="25"/>
      <c r="R67" s="25"/>
      <c r="S67" s="25"/>
      <c r="T67" s="25"/>
      <c r="U67" s="25"/>
      <c r="V67" s="25"/>
      <c r="W67" s="25"/>
      <c r="X67" s="25"/>
      <c r="Y67" s="25"/>
      <c r="Z67" s="25"/>
      <c r="AA67" s="25"/>
    </row>
    <row r="68">
      <c r="A68" s="24"/>
      <c r="B68" s="24" t="s">
        <v>74</v>
      </c>
      <c r="C68" s="24" t="s">
        <v>242</v>
      </c>
      <c r="D68" s="26" t="s">
        <v>6</v>
      </c>
      <c r="E68" s="24" t="s">
        <v>429</v>
      </c>
      <c r="F68" s="24" t="s">
        <v>430</v>
      </c>
      <c r="G68" s="24"/>
      <c r="H68" s="25"/>
      <c r="I68" s="25"/>
      <c r="J68" s="25"/>
      <c r="K68" s="25"/>
      <c r="L68" s="25"/>
      <c r="M68" s="25"/>
      <c r="N68" s="25"/>
      <c r="O68" s="25"/>
      <c r="P68" s="25"/>
      <c r="Q68" s="25"/>
      <c r="R68" s="25"/>
      <c r="S68" s="25"/>
      <c r="T68" s="25"/>
      <c r="U68" s="25"/>
      <c r="V68" s="25"/>
      <c r="W68" s="25"/>
      <c r="X68" s="25"/>
      <c r="Y68" s="25"/>
      <c r="Z68" s="25"/>
      <c r="AA68" s="25"/>
    </row>
    <row r="69">
      <c r="A69" s="24"/>
      <c r="B69" s="24" t="s">
        <v>75</v>
      </c>
      <c r="C69" s="24" t="s">
        <v>244</v>
      </c>
      <c r="D69" s="25"/>
      <c r="E69" s="25"/>
      <c r="F69" s="25"/>
      <c r="G69" s="24"/>
      <c r="H69" s="25"/>
      <c r="I69" s="25"/>
      <c r="J69" s="25"/>
      <c r="K69" s="25"/>
      <c r="L69" s="25"/>
      <c r="M69" s="25"/>
      <c r="N69" s="25"/>
      <c r="O69" s="25"/>
      <c r="P69" s="25"/>
      <c r="Q69" s="25"/>
      <c r="R69" s="25"/>
      <c r="S69" s="25"/>
      <c r="T69" s="25"/>
      <c r="U69" s="25"/>
      <c r="V69" s="25"/>
      <c r="W69" s="25"/>
      <c r="X69" s="25"/>
      <c r="Y69" s="25"/>
      <c r="Z69" s="25"/>
      <c r="AA69" s="25"/>
    </row>
    <row r="70">
      <c r="A70" s="24"/>
      <c r="B70" s="24" t="s">
        <v>76</v>
      </c>
      <c r="C70" s="24" t="s">
        <v>245</v>
      </c>
      <c r="D70" s="25"/>
      <c r="E70" s="25"/>
      <c r="F70" s="25"/>
      <c r="G70" s="24"/>
      <c r="H70" s="25"/>
      <c r="I70" s="25"/>
      <c r="J70" s="25"/>
      <c r="K70" s="25"/>
      <c r="L70" s="25"/>
      <c r="M70" s="25"/>
      <c r="N70" s="25"/>
      <c r="O70" s="25"/>
      <c r="P70" s="25"/>
      <c r="Q70" s="25"/>
      <c r="R70" s="25"/>
      <c r="S70" s="25"/>
      <c r="T70" s="25"/>
      <c r="U70" s="25"/>
      <c r="V70" s="25"/>
      <c r="W70" s="25"/>
      <c r="X70" s="25"/>
      <c r="Y70" s="25"/>
      <c r="Z70" s="25"/>
      <c r="AA70" s="25"/>
    </row>
    <row r="71">
      <c r="A71" s="24"/>
      <c r="B71" s="24" t="s">
        <v>77</v>
      </c>
      <c r="C71" s="24" t="s">
        <v>246</v>
      </c>
      <c r="D71" s="26" t="s">
        <v>6</v>
      </c>
      <c r="E71" s="24" t="s">
        <v>431</v>
      </c>
      <c r="F71" s="24" t="s">
        <v>432</v>
      </c>
      <c r="G71" s="24"/>
      <c r="H71" s="25"/>
      <c r="I71" s="25"/>
      <c r="J71" s="25"/>
      <c r="K71" s="25"/>
      <c r="L71" s="25"/>
      <c r="M71" s="25"/>
      <c r="N71" s="25"/>
      <c r="O71" s="25"/>
      <c r="P71" s="25"/>
      <c r="Q71" s="25"/>
      <c r="R71" s="25"/>
      <c r="S71" s="25"/>
      <c r="T71" s="25"/>
      <c r="U71" s="25"/>
      <c r="V71" s="25"/>
      <c r="W71" s="25"/>
      <c r="X71" s="25"/>
      <c r="Y71" s="25"/>
      <c r="Z71" s="25"/>
      <c r="AA71" s="25"/>
    </row>
    <row r="72">
      <c r="A72" s="24" t="s">
        <v>85</v>
      </c>
      <c r="B72" s="25"/>
      <c r="C72" s="24" t="s">
        <v>328</v>
      </c>
      <c r="D72" s="24"/>
      <c r="E72" s="24"/>
      <c r="F72" s="24"/>
      <c r="G72" s="25"/>
      <c r="H72" s="25"/>
      <c r="I72" s="25"/>
      <c r="J72" s="25"/>
      <c r="K72" s="25"/>
      <c r="L72" s="25"/>
      <c r="M72" s="25"/>
      <c r="N72" s="25"/>
      <c r="O72" s="25"/>
      <c r="P72" s="25"/>
      <c r="Q72" s="25"/>
      <c r="R72" s="25"/>
      <c r="S72" s="25"/>
      <c r="T72" s="25"/>
      <c r="U72" s="25"/>
      <c r="V72" s="25"/>
      <c r="W72" s="25"/>
      <c r="X72" s="25"/>
      <c r="Y72" s="25"/>
      <c r="Z72" s="25"/>
      <c r="AA72" s="25"/>
    </row>
    <row r="73">
      <c r="A73" s="24"/>
      <c r="B73" s="24" t="s">
        <v>86</v>
      </c>
      <c r="C73" s="24" t="s">
        <v>330</v>
      </c>
      <c r="D73" s="24"/>
      <c r="E73" s="25"/>
      <c r="F73" s="24"/>
      <c r="G73" s="24"/>
      <c r="H73" s="25"/>
      <c r="I73" s="25"/>
      <c r="J73" s="25"/>
      <c r="K73" s="25"/>
      <c r="L73" s="25"/>
      <c r="M73" s="25"/>
      <c r="N73" s="25"/>
      <c r="O73" s="25"/>
      <c r="P73" s="25"/>
      <c r="Q73" s="25"/>
      <c r="R73" s="25"/>
      <c r="S73" s="25"/>
      <c r="T73" s="25"/>
      <c r="U73" s="25"/>
      <c r="V73" s="25"/>
      <c r="W73" s="25"/>
      <c r="X73" s="25"/>
      <c r="Y73" s="25"/>
      <c r="Z73" s="25"/>
      <c r="AA73" s="25"/>
    </row>
    <row r="74">
      <c r="A74" s="24"/>
      <c r="B74" s="24" t="s">
        <v>87</v>
      </c>
      <c r="C74" s="24" t="s">
        <v>334</v>
      </c>
      <c r="D74" s="24"/>
      <c r="E74" s="25"/>
      <c r="F74" s="24"/>
      <c r="G74" s="24"/>
      <c r="H74" s="25"/>
      <c r="I74" s="25"/>
      <c r="J74" s="25"/>
      <c r="K74" s="25"/>
      <c r="L74" s="25"/>
      <c r="M74" s="25"/>
      <c r="N74" s="25"/>
      <c r="O74" s="25"/>
      <c r="P74" s="25"/>
      <c r="Q74" s="25"/>
      <c r="R74" s="25"/>
      <c r="S74" s="25"/>
      <c r="T74" s="25"/>
      <c r="U74" s="25"/>
      <c r="V74" s="25"/>
      <c r="W74" s="25"/>
      <c r="X74" s="25"/>
      <c r="Y74" s="25"/>
      <c r="Z74" s="25"/>
      <c r="AA74" s="25"/>
    </row>
    <row r="75">
      <c r="A75" s="24" t="s">
        <v>88</v>
      </c>
      <c r="B75" s="25"/>
      <c r="C75" s="24" t="s">
        <v>337</v>
      </c>
      <c r="D75" s="24"/>
      <c r="E75" s="24"/>
      <c r="F75" s="24"/>
      <c r="G75" s="25"/>
      <c r="H75" s="25"/>
      <c r="I75" s="25"/>
      <c r="J75" s="25"/>
      <c r="K75" s="25"/>
      <c r="L75" s="25"/>
      <c r="M75" s="25"/>
      <c r="N75" s="25"/>
      <c r="O75" s="25"/>
      <c r="P75" s="25"/>
      <c r="Q75" s="25"/>
      <c r="R75" s="25"/>
      <c r="S75" s="25"/>
      <c r="T75" s="25"/>
      <c r="U75" s="25"/>
      <c r="V75" s="25"/>
      <c r="W75" s="25"/>
      <c r="X75" s="25"/>
      <c r="Y75" s="25"/>
      <c r="Z75" s="25"/>
      <c r="AA75" s="25"/>
    </row>
    <row r="76">
      <c r="A76" s="24"/>
      <c r="B76" s="24" t="s">
        <v>89</v>
      </c>
      <c r="C76" s="24" t="s">
        <v>339</v>
      </c>
      <c r="D76" s="24"/>
      <c r="E76" s="25"/>
      <c r="F76" s="24"/>
      <c r="G76" s="25"/>
      <c r="H76" s="25"/>
      <c r="I76" s="25"/>
      <c r="J76" s="25"/>
      <c r="K76" s="25"/>
      <c r="L76" s="25"/>
      <c r="M76" s="25"/>
      <c r="N76" s="25"/>
      <c r="O76" s="25"/>
      <c r="P76" s="25"/>
      <c r="Q76" s="25"/>
      <c r="R76" s="25"/>
      <c r="S76" s="25"/>
      <c r="T76" s="25"/>
      <c r="U76" s="25"/>
      <c r="V76" s="25"/>
      <c r="W76" s="25"/>
      <c r="X76" s="25"/>
      <c r="Y76" s="25"/>
      <c r="Z76" s="25"/>
      <c r="AA76" s="25"/>
    </row>
    <row r="77">
      <c r="A77" s="24"/>
      <c r="B77" s="24" t="s">
        <v>90</v>
      </c>
      <c r="C77" s="24" t="s">
        <v>341</v>
      </c>
      <c r="D77" s="24"/>
      <c r="E77" s="25"/>
      <c r="F77" s="24"/>
      <c r="G77" s="25"/>
      <c r="H77" s="25"/>
      <c r="I77" s="25"/>
      <c r="J77" s="25"/>
      <c r="K77" s="25"/>
      <c r="L77" s="25"/>
      <c r="M77" s="25"/>
      <c r="N77" s="25"/>
      <c r="O77" s="25"/>
      <c r="P77" s="25"/>
      <c r="Q77" s="25"/>
      <c r="R77" s="25"/>
      <c r="S77" s="25"/>
      <c r="T77" s="25"/>
      <c r="U77" s="25"/>
      <c r="V77" s="25"/>
      <c r="W77" s="25"/>
      <c r="X77" s="25"/>
      <c r="Y77" s="25"/>
      <c r="Z77" s="25"/>
      <c r="AA77" s="25"/>
    </row>
    <row r="78">
      <c r="A78" s="24" t="s">
        <v>91</v>
      </c>
      <c r="B78" s="25"/>
      <c r="C78" s="24" t="s">
        <v>343</v>
      </c>
      <c r="D78" s="24"/>
      <c r="E78" s="25"/>
      <c r="F78" s="24"/>
      <c r="G78" s="25"/>
      <c r="H78" s="25"/>
      <c r="I78" s="25"/>
      <c r="J78" s="25"/>
      <c r="K78" s="25"/>
      <c r="L78" s="25"/>
      <c r="M78" s="25"/>
      <c r="N78" s="25"/>
      <c r="O78" s="25"/>
      <c r="P78" s="25"/>
      <c r="Q78" s="25"/>
      <c r="R78" s="25"/>
      <c r="S78" s="25"/>
      <c r="T78" s="25"/>
      <c r="U78" s="25"/>
      <c r="V78" s="25"/>
      <c r="W78" s="25"/>
      <c r="X78" s="25"/>
      <c r="Y78" s="25"/>
      <c r="Z78" s="25"/>
      <c r="AA78" s="25"/>
    </row>
    <row r="79">
      <c r="A79" s="24"/>
      <c r="B79" s="24" t="s">
        <v>92</v>
      </c>
      <c r="C79" s="24" t="s">
        <v>344</v>
      </c>
      <c r="D79" s="26" t="s">
        <v>6</v>
      </c>
      <c r="E79" s="24" t="s">
        <v>433</v>
      </c>
      <c r="F79" s="24"/>
      <c r="G79" s="25"/>
      <c r="H79" s="25"/>
      <c r="I79" s="25"/>
      <c r="J79" s="25"/>
      <c r="K79" s="25"/>
      <c r="L79" s="25"/>
      <c r="M79" s="25"/>
      <c r="N79" s="25"/>
      <c r="O79" s="25"/>
      <c r="P79" s="25"/>
      <c r="Q79" s="25"/>
      <c r="R79" s="25"/>
      <c r="S79" s="25"/>
      <c r="T79" s="25"/>
      <c r="U79" s="25"/>
      <c r="V79" s="25"/>
      <c r="W79" s="25"/>
      <c r="X79" s="25"/>
      <c r="Y79" s="25"/>
      <c r="Z79" s="25"/>
      <c r="AA79" s="25"/>
    </row>
    <row r="80">
      <c r="A80" s="24"/>
      <c r="B80" s="24" t="s">
        <v>93</v>
      </c>
      <c r="C80" s="24" t="s">
        <v>345</v>
      </c>
      <c r="D80" s="26" t="s">
        <v>434</v>
      </c>
      <c r="E80" s="24" t="s">
        <v>435</v>
      </c>
      <c r="F80" s="24" t="s">
        <v>420</v>
      </c>
      <c r="G80" s="25"/>
      <c r="H80" s="25"/>
      <c r="I80" s="25"/>
      <c r="J80" s="25"/>
      <c r="K80" s="25"/>
      <c r="L80" s="25"/>
      <c r="M80" s="25"/>
      <c r="N80" s="25"/>
      <c r="O80" s="25"/>
      <c r="P80" s="25"/>
      <c r="Q80" s="25"/>
      <c r="R80" s="25"/>
      <c r="S80" s="25"/>
      <c r="T80" s="25"/>
      <c r="U80" s="25"/>
      <c r="V80" s="25"/>
      <c r="W80" s="25"/>
      <c r="X80" s="25"/>
      <c r="Y80" s="25"/>
      <c r="Z80" s="25"/>
      <c r="AA80" s="25"/>
    </row>
    <row r="81">
      <c r="A81" s="24"/>
      <c r="B81" s="24" t="s">
        <v>94</v>
      </c>
      <c r="C81" s="24" t="s">
        <v>346</v>
      </c>
      <c r="D81" s="27" t="s">
        <v>326</v>
      </c>
      <c r="E81" s="24" t="s">
        <v>436</v>
      </c>
      <c r="F81" s="24"/>
      <c r="G81" s="25"/>
      <c r="H81" s="25"/>
      <c r="I81" s="25"/>
      <c r="J81" s="25"/>
      <c r="K81" s="25"/>
      <c r="L81" s="25"/>
      <c r="M81" s="25"/>
      <c r="N81" s="25"/>
      <c r="O81" s="25"/>
      <c r="P81" s="25"/>
      <c r="Q81" s="25"/>
      <c r="R81" s="25"/>
      <c r="S81" s="25"/>
      <c r="T81" s="25"/>
      <c r="U81" s="25"/>
      <c r="V81" s="25"/>
      <c r="W81" s="25"/>
      <c r="X81" s="25"/>
      <c r="Y81" s="25"/>
      <c r="Z81" s="25"/>
      <c r="AA81" s="25"/>
    </row>
    <row r="82">
      <c r="A82" s="24" t="s">
        <v>95</v>
      </c>
      <c r="B82" s="25"/>
      <c r="C82" s="24" t="s">
        <v>347</v>
      </c>
      <c r="D82" s="24"/>
      <c r="E82" s="24"/>
      <c r="F82" s="24"/>
      <c r="G82" s="25"/>
      <c r="H82" s="25"/>
      <c r="I82" s="25"/>
      <c r="J82" s="25"/>
      <c r="K82" s="25"/>
      <c r="L82" s="25"/>
      <c r="M82" s="25"/>
      <c r="N82" s="25"/>
      <c r="O82" s="25"/>
      <c r="P82" s="25"/>
      <c r="Q82" s="25"/>
      <c r="R82" s="25"/>
      <c r="S82" s="25"/>
      <c r="T82" s="25"/>
      <c r="U82" s="25"/>
      <c r="V82" s="25"/>
      <c r="W82" s="25"/>
      <c r="X82" s="25"/>
      <c r="Y82" s="25"/>
      <c r="Z82" s="25"/>
      <c r="AA82" s="25"/>
    </row>
    <row r="83">
      <c r="A83" s="24"/>
      <c r="B83" s="24" t="s">
        <v>96</v>
      </c>
      <c r="C83" s="24" t="s">
        <v>349</v>
      </c>
      <c r="D83" s="24"/>
      <c r="E83" s="25"/>
      <c r="F83" s="25"/>
      <c r="G83" s="25"/>
      <c r="H83" s="25"/>
      <c r="I83" s="25"/>
      <c r="J83" s="25"/>
      <c r="K83" s="25"/>
      <c r="L83" s="25"/>
      <c r="M83" s="25"/>
      <c r="N83" s="25"/>
      <c r="O83" s="25"/>
      <c r="P83" s="25"/>
      <c r="Q83" s="25"/>
      <c r="R83" s="25"/>
      <c r="S83" s="25"/>
      <c r="T83" s="25"/>
      <c r="U83" s="25"/>
      <c r="V83" s="25"/>
      <c r="W83" s="25"/>
      <c r="X83" s="25"/>
      <c r="Y83" s="25"/>
      <c r="Z83" s="25"/>
      <c r="AA83" s="25"/>
    </row>
    <row r="84">
      <c r="A84" s="24" t="s">
        <v>97</v>
      </c>
      <c r="B84" s="25"/>
      <c r="C84" s="24" t="s">
        <v>350</v>
      </c>
      <c r="D84" s="25"/>
      <c r="E84" s="25"/>
      <c r="F84" s="25"/>
      <c r="G84" s="25"/>
      <c r="H84" s="25"/>
      <c r="I84" s="25"/>
      <c r="J84" s="25"/>
      <c r="K84" s="25"/>
      <c r="L84" s="25"/>
      <c r="M84" s="25"/>
      <c r="N84" s="25"/>
      <c r="O84" s="25"/>
      <c r="P84" s="25"/>
      <c r="Q84" s="25"/>
      <c r="R84" s="25"/>
      <c r="S84" s="25"/>
      <c r="T84" s="25"/>
      <c r="U84" s="25"/>
      <c r="V84" s="25"/>
      <c r="W84" s="25"/>
      <c r="X84" s="25"/>
      <c r="Y84" s="25"/>
      <c r="Z84" s="25"/>
      <c r="AA84" s="25"/>
    </row>
    <row r="85">
      <c r="A85" s="24"/>
      <c r="B85" s="24" t="s">
        <v>98</v>
      </c>
      <c r="C85" s="24" t="s">
        <v>351</v>
      </c>
      <c r="D85" s="25"/>
      <c r="E85" s="25"/>
      <c r="F85" s="25"/>
      <c r="G85" s="25"/>
      <c r="H85" s="25"/>
      <c r="I85" s="25"/>
      <c r="J85" s="25"/>
      <c r="K85" s="25"/>
      <c r="L85" s="25"/>
      <c r="M85" s="25"/>
      <c r="N85" s="25"/>
      <c r="O85" s="25"/>
      <c r="P85" s="25"/>
      <c r="Q85" s="25"/>
      <c r="R85" s="25"/>
      <c r="S85" s="25"/>
      <c r="T85" s="25"/>
      <c r="U85" s="25"/>
      <c r="V85" s="25"/>
      <c r="W85" s="25"/>
      <c r="X85" s="25"/>
      <c r="Y85" s="25"/>
      <c r="Z85" s="25"/>
      <c r="AA85" s="25"/>
    </row>
    <row r="86">
      <c r="A86" s="24"/>
      <c r="B86" s="24" t="s">
        <v>99</v>
      </c>
      <c r="C86" s="24" t="s">
        <v>352</v>
      </c>
      <c r="D86" s="26" t="s">
        <v>6</v>
      </c>
      <c r="E86" s="24" t="s">
        <v>437</v>
      </c>
      <c r="F86" s="24" t="s">
        <v>438</v>
      </c>
      <c r="G86" s="25"/>
      <c r="H86" s="25"/>
      <c r="I86" s="25"/>
      <c r="J86" s="25"/>
      <c r="K86" s="25"/>
      <c r="L86" s="25"/>
      <c r="M86" s="25"/>
      <c r="N86" s="25"/>
      <c r="O86" s="25"/>
      <c r="P86" s="25"/>
      <c r="Q86" s="25"/>
      <c r="R86" s="25"/>
      <c r="S86" s="25"/>
      <c r="T86" s="25"/>
      <c r="U86" s="25"/>
      <c r="V86" s="25"/>
      <c r="W86" s="25"/>
      <c r="X86" s="25"/>
      <c r="Y86" s="25"/>
      <c r="Z86" s="25"/>
      <c r="AA86" s="25"/>
    </row>
    <row r="87">
      <c r="A87" s="24" t="s">
        <v>100</v>
      </c>
      <c r="B87" s="25"/>
      <c r="C87" s="24" t="s">
        <v>267</v>
      </c>
      <c r="D87" s="25"/>
      <c r="E87" s="25"/>
      <c r="F87" s="25"/>
      <c r="G87" s="25"/>
      <c r="H87" s="25"/>
      <c r="I87" s="25"/>
      <c r="J87" s="25"/>
      <c r="K87" s="25"/>
      <c r="L87" s="25"/>
      <c r="M87" s="25"/>
      <c r="N87" s="25"/>
      <c r="O87" s="25"/>
      <c r="P87" s="25"/>
      <c r="Q87" s="25"/>
      <c r="R87" s="25"/>
      <c r="S87" s="25"/>
      <c r="T87" s="25"/>
      <c r="U87" s="25"/>
      <c r="V87" s="25"/>
      <c r="W87" s="25"/>
      <c r="X87" s="25"/>
      <c r="Y87" s="25"/>
      <c r="Z87" s="25"/>
      <c r="AA87" s="25"/>
    </row>
    <row r="88">
      <c r="A88" s="24"/>
      <c r="B88" s="24" t="s">
        <v>101</v>
      </c>
      <c r="C88" s="24" t="s">
        <v>268</v>
      </c>
      <c r="D88" s="25"/>
      <c r="E88" s="25"/>
      <c r="F88" s="25"/>
      <c r="G88" s="25"/>
      <c r="H88" s="25"/>
      <c r="I88" s="25"/>
      <c r="J88" s="25"/>
      <c r="K88" s="25"/>
      <c r="L88" s="25"/>
      <c r="M88" s="25"/>
      <c r="N88" s="25"/>
      <c r="O88" s="25"/>
      <c r="P88" s="25"/>
      <c r="Q88" s="25"/>
      <c r="R88" s="25"/>
      <c r="S88" s="25"/>
      <c r="T88" s="25"/>
      <c r="U88" s="25"/>
      <c r="V88" s="25"/>
      <c r="W88" s="25"/>
      <c r="X88" s="25"/>
      <c r="Y88" s="25"/>
      <c r="Z88" s="25"/>
      <c r="AA88" s="25"/>
    </row>
    <row r="89">
      <c r="A89" s="24" t="s">
        <v>102</v>
      </c>
      <c r="B89" s="25"/>
      <c r="C89" s="24" t="s">
        <v>271</v>
      </c>
      <c r="D89" s="25"/>
      <c r="E89" s="25"/>
      <c r="F89" s="25"/>
      <c r="G89" s="25"/>
      <c r="H89" s="25"/>
      <c r="I89" s="25"/>
      <c r="J89" s="25"/>
      <c r="K89" s="25"/>
      <c r="L89" s="25"/>
      <c r="M89" s="25"/>
      <c r="N89" s="25"/>
      <c r="O89" s="25"/>
      <c r="P89" s="25"/>
      <c r="Q89" s="25"/>
      <c r="R89" s="25"/>
      <c r="S89" s="25"/>
      <c r="T89" s="25"/>
      <c r="U89" s="25"/>
      <c r="V89" s="25"/>
      <c r="W89" s="25"/>
      <c r="X89" s="25"/>
      <c r="Y89" s="25"/>
      <c r="Z89" s="25"/>
      <c r="AA89" s="25"/>
    </row>
    <row r="90">
      <c r="A90" s="24"/>
      <c r="B90" s="24" t="s">
        <v>103</v>
      </c>
      <c r="C90" s="24" t="s">
        <v>353</v>
      </c>
      <c r="D90" s="25"/>
      <c r="E90" s="25"/>
      <c r="F90" s="25"/>
      <c r="G90" s="25"/>
      <c r="H90" s="25"/>
      <c r="I90" s="25"/>
      <c r="J90" s="25"/>
      <c r="K90" s="25"/>
      <c r="L90" s="25"/>
      <c r="M90" s="25"/>
      <c r="N90" s="25"/>
      <c r="O90" s="25"/>
      <c r="P90" s="25"/>
      <c r="Q90" s="25"/>
      <c r="R90" s="25"/>
      <c r="S90" s="25"/>
      <c r="T90" s="25"/>
      <c r="U90" s="25"/>
      <c r="V90" s="25"/>
      <c r="W90" s="25"/>
      <c r="X90" s="25"/>
      <c r="Y90" s="25"/>
      <c r="Z90" s="25"/>
      <c r="AA90" s="25"/>
    </row>
    <row r="91">
      <c r="A91" s="24" t="s">
        <v>106</v>
      </c>
      <c r="B91" s="25"/>
      <c r="C91" s="24" t="s">
        <v>279</v>
      </c>
      <c r="D91" s="24"/>
      <c r="E91" s="24"/>
      <c r="F91" s="25"/>
      <c r="G91" s="25"/>
      <c r="H91" s="25"/>
      <c r="I91" s="25"/>
      <c r="J91" s="25"/>
      <c r="K91" s="25"/>
      <c r="L91" s="25"/>
      <c r="M91" s="25"/>
      <c r="N91" s="25"/>
      <c r="O91" s="25"/>
      <c r="P91" s="25"/>
      <c r="Q91" s="25"/>
      <c r="R91" s="25"/>
      <c r="S91" s="25"/>
      <c r="T91" s="25"/>
      <c r="U91" s="25"/>
      <c r="V91" s="25"/>
      <c r="W91" s="25"/>
      <c r="X91" s="25"/>
      <c r="Y91" s="25"/>
      <c r="Z91" s="25"/>
      <c r="AA91" s="25"/>
    </row>
    <row r="92">
      <c r="A92" s="24"/>
      <c r="B92" s="24" t="s">
        <v>107</v>
      </c>
      <c r="C92" s="24" t="s">
        <v>354</v>
      </c>
      <c r="D92" s="24"/>
      <c r="E92" s="24"/>
      <c r="F92" s="25"/>
      <c r="G92" s="25"/>
      <c r="H92" s="25"/>
      <c r="I92" s="25"/>
      <c r="J92" s="25"/>
      <c r="K92" s="25"/>
      <c r="L92" s="25"/>
      <c r="M92" s="25"/>
      <c r="N92" s="25"/>
      <c r="O92" s="25"/>
      <c r="P92" s="25"/>
      <c r="Q92" s="25"/>
      <c r="R92" s="25"/>
      <c r="S92" s="25"/>
      <c r="T92" s="25"/>
      <c r="U92" s="25"/>
      <c r="V92" s="25"/>
      <c r="W92" s="25"/>
      <c r="X92" s="25"/>
      <c r="Y92" s="25"/>
      <c r="Z92" s="25"/>
      <c r="AA92" s="25"/>
    </row>
    <row r="93">
      <c r="A93" s="24"/>
      <c r="B93" s="24" t="s">
        <v>107</v>
      </c>
      <c r="C93" s="24" t="s">
        <v>439</v>
      </c>
      <c r="D93" s="24"/>
      <c r="E93" s="24"/>
      <c r="F93" s="25"/>
      <c r="G93" s="25"/>
      <c r="H93" s="25"/>
      <c r="I93" s="25"/>
      <c r="J93" s="25"/>
      <c r="K93" s="25"/>
      <c r="L93" s="25"/>
      <c r="M93" s="25"/>
      <c r="N93" s="25"/>
      <c r="O93" s="25"/>
      <c r="P93" s="25"/>
      <c r="Q93" s="25"/>
      <c r="R93" s="25"/>
      <c r="S93" s="25"/>
      <c r="T93" s="25"/>
      <c r="U93" s="25"/>
      <c r="V93" s="25"/>
      <c r="W93" s="25"/>
      <c r="X93" s="25"/>
      <c r="Y93" s="25"/>
      <c r="Z93" s="25"/>
      <c r="AA93" s="25"/>
    </row>
    <row r="94">
      <c r="A94" s="24" t="s">
        <v>109</v>
      </c>
      <c r="B94" s="25"/>
      <c r="C94" s="24" t="s">
        <v>356</v>
      </c>
      <c r="D94" s="24"/>
      <c r="E94" s="24"/>
      <c r="F94" s="25"/>
      <c r="G94" s="25"/>
      <c r="H94" s="25"/>
      <c r="I94" s="25"/>
      <c r="J94" s="25"/>
      <c r="K94" s="25"/>
      <c r="L94" s="25"/>
      <c r="M94" s="25"/>
      <c r="N94" s="25"/>
      <c r="O94" s="25"/>
      <c r="P94" s="25"/>
      <c r="Q94" s="25"/>
      <c r="R94" s="25"/>
      <c r="S94" s="25"/>
      <c r="T94" s="25"/>
      <c r="U94" s="25"/>
      <c r="V94" s="25"/>
      <c r="W94" s="25"/>
      <c r="X94" s="25"/>
      <c r="Y94" s="25"/>
      <c r="Z94" s="25"/>
      <c r="AA94" s="25"/>
    </row>
    <row r="95">
      <c r="A95" s="24"/>
      <c r="B95" s="24" t="s">
        <v>110</v>
      </c>
      <c r="C95" s="24" t="s">
        <v>358</v>
      </c>
      <c r="D95" s="24"/>
      <c r="E95" s="25"/>
      <c r="F95" s="24"/>
      <c r="G95" s="25"/>
      <c r="H95" s="25"/>
      <c r="I95" s="25"/>
      <c r="J95" s="25"/>
      <c r="K95" s="25"/>
      <c r="L95" s="25"/>
      <c r="M95" s="25"/>
      <c r="N95" s="25"/>
      <c r="O95" s="25"/>
      <c r="P95" s="25"/>
      <c r="Q95" s="25"/>
      <c r="R95" s="25"/>
      <c r="S95" s="25"/>
      <c r="T95" s="25"/>
      <c r="U95" s="25"/>
      <c r="V95" s="25"/>
      <c r="W95" s="25"/>
      <c r="X95" s="25"/>
      <c r="Y95" s="25"/>
      <c r="Z95" s="25"/>
      <c r="AA95" s="25"/>
    </row>
    <row r="96">
      <c r="A96" s="24" t="s">
        <v>111</v>
      </c>
      <c r="B96" s="25"/>
      <c r="C96" s="24" t="s">
        <v>360</v>
      </c>
      <c r="D96" s="24"/>
      <c r="E96" s="25"/>
      <c r="F96" s="25"/>
      <c r="G96" s="25"/>
      <c r="H96" s="25"/>
      <c r="I96" s="25"/>
      <c r="J96" s="25"/>
      <c r="K96" s="25"/>
      <c r="L96" s="25"/>
      <c r="M96" s="25"/>
      <c r="N96" s="25"/>
      <c r="O96" s="25"/>
      <c r="P96" s="25"/>
      <c r="Q96" s="25"/>
      <c r="R96" s="25"/>
      <c r="S96" s="25"/>
      <c r="T96" s="25"/>
      <c r="U96" s="25"/>
      <c r="V96" s="25"/>
      <c r="W96" s="25"/>
      <c r="X96" s="25"/>
      <c r="Y96" s="25"/>
      <c r="Z96" s="25"/>
      <c r="AA96" s="25"/>
    </row>
    <row r="97">
      <c r="A97" s="24"/>
      <c r="B97" s="24" t="s">
        <v>112</v>
      </c>
      <c r="C97" s="24" t="s">
        <v>361</v>
      </c>
      <c r="D97" s="24"/>
      <c r="E97" s="25"/>
      <c r="F97" s="24"/>
      <c r="G97" s="25"/>
      <c r="H97" s="25"/>
      <c r="I97" s="25"/>
      <c r="J97" s="25"/>
      <c r="K97" s="25"/>
      <c r="L97" s="25"/>
      <c r="M97" s="25"/>
      <c r="N97" s="25"/>
      <c r="O97" s="25"/>
      <c r="P97" s="25"/>
      <c r="Q97" s="25"/>
      <c r="R97" s="25"/>
      <c r="S97" s="25"/>
      <c r="T97" s="25"/>
      <c r="U97" s="25"/>
      <c r="V97" s="25"/>
      <c r="W97" s="25"/>
      <c r="X97" s="25"/>
      <c r="Y97" s="25"/>
      <c r="Z97" s="25"/>
      <c r="AA97" s="25"/>
    </row>
    <row r="98">
      <c r="A98" s="24"/>
      <c r="B98" s="24" t="s">
        <v>113</v>
      </c>
      <c r="C98" s="24" t="s">
        <v>363</v>
      </c>
      <c r="D98" s="24"/>
      <c r="E98" s="25"/>
      <c r="F98" s="25"/>
      <c r="G98" s="25"/>
      <c r="H98" s="25"/>
      <c r="I98" s="25"/>
      <c r="J98" s="25"/>
      <c r="K98" s="25"/>
      <c r="L98" s="25"/>
      <c r="M98" s="25"/>
      <c r="N98" s="25"/>
      <c r="O98" s="25"/>
      <c r="P98" s="25"/>
      <c r="Q98" s="25"/>
      <c r="R98" s="25"/>
      <c r="S98" s="25"/>
      <c r="T98" s="25"/>
      <c r="U98" s="25"/>
      <c r="V98" s="25"/>
      <c r="W98" s="25"/>
      <c r="X98" s="25"/>
      <c r="Y98" s="25"/>
      <c r="Z98" s="25"/>
      <c r="AA98" s="25"/>
    </row>
    <row r="99">
      <c r="A99" s="24"/>
      <c r="B99" s="24" t="s">
        <v>114</v>
      </c>
      <c r="C99" s="24" t="s">
        <v>364</v>
      </c>
      <c r="D99" s="24"/>
      <c r="E99" s="25"/>
      <c r="F99" s="25"/>
      <c r="G99" s="25"/>
      <c r="H99" s="25"/>
      <c r="I99" s="25"/>
      <c r="J99" s="25"/>
      <c r="K99" s="25"/>
      <c r="L99" s="25"/>
      <c r="M99" s="25"/>
      <c r="N99" s="25"/>
      <c r="O99" s="25"/>
      <c r="P99" s="25"/>
      <c r="Q99" s="25"/>
      <c r="R99" s="25"/>
      <c r="S99" s="25"/>
      <c r="T99" s="25"/>
      <c r="U99" s="25"/>
      <c r="V99" s="25"/>
      <c r="W99" s="25"/>
      <c r="X99" s="25"/>
      <c r="Y99" s="25"/>
      <c r="Z99" s="25"/>
      <c r="AA99" s="25"/>
    </row>
    <row r="100">
      <c r="A100" s="24"/>
      <c r="B100" s="24" t="s">
        <v>115</v>
      </c>
      <c r="C100" s="24" t="s">
        <v>365</v>
      </c>
      <c r="D100" s="24"/>
      <c r="E100" s="25"/>
      <c r="F100" s="25"/>
      <c r="G100" s="25"/>
      <c r="H100" s="25"/>
      <c r="I100" s="25"/>
      <c r="J100" s="25"/>
      <c r="K100" s="25"/>
      <c r="L100" s="25"/>
      <c r="M100" s="25"/>
      <c r="N100" s="25"/>
      <c r="O100" s="25"/>
      <c r="P100" s="25"/>
      <c r="Q100" s="25"/>
      <c r="R100" s="25"/>
      <c r="S100" s="25"/>
      <c r="T100" s="25"/>
      <c r="U100" s="25"/>
      <c r="V100" s="25"/>
      <c r="W100" s="25"/>
      <c r="X100" s="25"/>
      <c r="Y100" s="25"/>
      <c r="Z100" s="25"/>
      <c r="AA100" s="25"/>
    </row>
    <row r="101">
      <c r="A101" s="24" t="s">
        <v>118</v>
      </c>
      <c r="B101" s="25"/>
      <c r="C101" s="24" t="s">
        <v>366</v>
      </c>
      <c r="D101" s="24"/>
      <c r="E101" s="25"/>
      <c r="F101" s="24"/>
      <c r="G101" s="25"/>
      <c r="H101" s="25"/>
      <c r="I101" s="25"/>
      <c r="J101" s="25"/>
      <c r="K101" s="25"/>
      <c r="L101" s="25"/>
      <c r="M101" s="25"/>
      <c r="N101" s="25"/>
      <c r="O101" s="25"/>
      <c r="P101" s="25"/>
      <c r="Q101" s="25"/>
      <c r="R101" s="25"/>
      <c r="S101" s="25"/>
      <c r="T101" s="25"/>
      <c r="U101" s="25"/>
      <c r="V101" s="25"/>
      <c r="W101" s="25"/>
      <c r="X101" s="25"/>
      <c r="Y101" s="25"/>
      <c r="Z101" s="25"/>
      <c r="AA101" s="25"/>
    </row>
    <row r="102">
      <c r="A102" s="24"/>
      <c r="B102" s="24" t="s">
        <v>119</v>
      </c>
      <c r="C102" s="24" t="s">
        <v>368</v>
      </c>
      <c r="D102" s="24"/>
      <c r="E102" s="25"/>
      <c r="F102" s="24"/>
      <c r="G102" s="25"/>
      <c r="H102" s="25"/>
      <c r="I102" s="25"/>
      <c r="J102" s="25"/>
      <c r="K102" s="25"/>
      <c r="L102" s="25"/>
      <c r="M102" s="25"/>
      <c r="N102" s="25"/>
      <c r="O102" s="25"/>
      <c r="P102" s="25"/>
      <c r="Q102" s="25"/>
      <c r="R102" s="25"/>
      <c r="S102" s="25"/>
      <c r="T102" s="25"/>
      <c r="U102" s="25"/>
      <c r="V102" s="25"/>
      <c r="W102" s="25"/>
      <c r="X102" s="25"/>
      <c r="Y102" s="25"/>
      <c r="Z102" s="25"/>
      <c r="AA102" s="25"/>
    </row>
    <row r="103">
      <c r="A103" s="24"/>
      <c r="B103" s="24" t="s">
        <v>120</v>
      </c>
      <c r="C103" s="24" t="s">
        <v>370</v>
      </c>
      <c r="D103" s="24"/>
      <c r="E103" s="25"/>
      <c r="F103" s="24"/>
      <c r="G103" s="25"/>
      <c r="H103" s="25"/>
      <c r="I103" s="25"/>
      <c r="J103" s="25"/>
      <c r="K103" s="25"/>
      <c r="L103" s="25"/>
      <c r="M103" s="25"/>
      <c r="N103" s="25"/>
      <c r="O103" s="25"/>
      <c r="P103" s="25"/>
      <c r="Q103" s="25"/>
      <c r="R103" s="25"/>
      <c r="S103" s="25"/>
      <c r="T103" s="25"/>
      <c r="U103" s="25"/>
      <c r="V103" s="25"/>
      <c r="W103" s="25"/>
      <c r="X103" s="25"/>
      <c r="Y103" s="25"/>
      <c r="Z103" s="25"/>
      <c r="AA103" s="25"/>
    </row>
    <row r="104">
      <c r="A104" s="24"/>
      <c r="B104" s="24" t="s">
        <v>121</v>
      </c>
      <c r="C104" s="24" t="s">
        <v>373</v>
      </c>
      <c r="D104" s="24"/>
      <c r="E104" s="25"/>
      <c r="F104" s="24"/>
      <c r="G104" s="25"/>
      <c r="H104" s="25"/>
      <c r="I104" s="25"/>
      <c r="J104" s="25"/>
      <c r="K104" s="25"/>
      <c r="L104" s="25"/>
      <c r="M104" s="25"/>
      <c r="N104" s="25"/>
      <c r="O104" s="25"/>
      <c r="P104" s="25"/>
      <c r="Q104" s="25"/>
      <c r="R104" s="25"/>
      <c r="S104" s="25"/>
      <c r="T104" s="25"/>
      <c r="U104" s="25"/>
      <c r="V104" s="25"/>
      <c r="W104" s="25"/>
      <c r="X104" s="25"/>
      <c r="Y104" s="25"/>
      <c r="Z104" s="25"/>
      <c r="AA104" s="25"/>
    </row>
    <row r="105">
      <c r="A105" s="24" t="s">
        <v>122</v>
      </c>
      <c r="B105" s="25"/>
      <c r="C105" s="24" t="s">
        <v>375</v>
      </c>
      <c r="D105" s="24"/>
      <c r="E105" s="24"/>
      <c r="F105" s="24"/>
      <c r="G105" s="24"/>
      <c r="H105" s="25"/>
      <c r="I105" s="25"/>
      <c r="J105" s="25"/>
      <c r="K105" s="25"/>
      <c r="L105" s="25"/>
      <c r="M105" s="25"/>
      <c r="N105" s="25"/>
      <c r="O105" s="25"/>
      <c r="P105" s="25"/>
      <c r="Q105" s="25"/>
      <c r="R105" s="25"/>
      <c r="S105" s="25"/>
      <c r="T105" s="25"/>
      <c r="U105" s="25"/>
      <c r="V105" s="25"/>
      <c r="W105" s="25"/>
      <c r="X105" s="25"/>
      <c r="Y105" s="25"/>
      <c r="Z105" s="25"/>
      <c r="AA105" s="25"/>
    </row>
    <row r="106">
      <c r="A106" s="24"/>
      <c r="B106" s="24" t="s">
        <v>123</v>
      </c>
      <c r="C106" s="24" t="s">
        <v>377</v>
      </c>
      <c r="D106" s="24"/>
      <c r="E106" s="25"/>
      <c r="F106" s="24"/>
      <c r="G106" s="25"/>
      <c r="H106" s="25"/>
      <c r="I106" s="25"/>
      <c r="J106" s="25"/>
      <c r="K106" s="25"/>
      <c r="L106" s="25"/>
      <c r="M106" s="25"/>
      <c r="N106" s="25"/>
      <c r="O106" s="25"/>
      <c r="P106" s="25"/>
      <c r="Q106" s="25"/>
      <c r="R106" s="25"/>
      <c r="S106" s="25"/>
      <c r="T106" s="25"/>
      <c r="U106" s="25"/>
      <c r="V106" s="25"/>
      <c r="W106" s="25"/>
      <c r="X106" s="25"/>
      <c r="Y106" s="25"/>
      <c r="Z106" s="25"/>
      <c r="AA106" s="25"/>
    </row>
    <row r="107">
      <c r="A107" s="24"/>
      <c r="B107" s="25"/>
      <c r="C107" s="24"/>
      <c r="D107" s="24"/>
      <c r="E107" s="25"/>
      <c r="F107" s="24"/>
      <c r="G107" s="25"/>
      <c r="H107" s="25"/>
      <c r="I107" s="25"/>
      <c r="J107" s="25"/>
      <c r="K107" s="25"/>
      <c r="L107" s="25"/>
      <c r="M107" s="25"/>
      <c r="N107" s="25"/>
      <c r="O107" s="25"/>
      <c r="P107" s="25"/>
      <c r="Q107" s="25"/>
      <c r="R107" s="25"/>
      <c r="S107" s="25"/>
      <c r="T107" s="25"/>
      <c r="U107" s="25"/>
      <c r="V107" s="25"/>
      <c r="W107" s="25"/>
      <c r="X107" s="25"/>
      <c r="Y107" s="25"/>
      <c r="Z107" s="25"/>
      <c r="AA107" s="25"/>
    </row>
    <row r="108">
      <c r="A108" s="25"/>
      <c r="B108" s="24"/>
      <c r="C108" s="24"/>
      <c r="D108" s="24"/>
      <c r="E108" s="25"/>
      <c r="F108" s="24"/>
      <c r="G108" s="25"/>
      <c r="H108" s="25"/>
      <c r="I108" s="25"/>
      <c r="J108" s="25"/>
      <c r="K108" s="25"/>
      <c r="L108" s="25"/>
      <c r="M108" s="25"/>
      <c r="N108" s="25"/>
      <c r="O108" s="25"/>
      <c r="P108" s="25"/>
      <c r="Q108" s="25"/>
      <c r="R108" s="25"/>
      <c r="S108" s="25"/>
      <c r="T108" s="25"/>
      <c r="U108" s="25"/>
      <c r="V108" s="25"/>
      <c r="W108" s="25"/>
      <c r="X108" s="25"/>
      <c r="Y108" s="25"/>
      <c r="Z108" s="25"/>
      <c r="AA108" s="25"/>
    </row>
    <row r="109">
      <c r="A109" s="25"/>
      <c r="B109" s="24"/>
      <c r="C109" s="24"/>
      <c r="D109" s="24"/>
      <c r="E109" s="25"/>
      <c r="F109" s="24"/>
      <c r="G109" s="25"/>
      <c r="H109" s="25"/>
      <c r="I109" s="25"/>
      <c r="J109" s="25"/>
      <c r="K109" s="25"/>
      <c r="L109" s="25"/>
      <c r="M109" s="25"/>
      <c r="N109" s="25"/>
      <c r="O109" s="25"/>
      <c r="P109" s="25"/>
      <c r="Q109" s="25"/>
      <c r="R109" s="25"/>
      <c r="S109" s="25"/>
      <c r="T109" s="25"/>
      <c r="U109" s="25"/>
      <c r="V109" s="25"/>
      <c r="W109" s="25"/>
      <c r="X109" s="25"/>
      <c r="Y109" s="25"/>
      <c r="Z109" s="25"/>
      <c r="AA109" s="25"/>
    </row>
    <row r="110">
      <c r="A110" s="25"/>
      <c r="C110" s="24"/>
      <c r="D110" s="25"/>
      <c r="E110" s="25"/>
      <c r="F110" s="25"/>
      <c r="G110" s="25"/>
      <c r="H110" s="25"/>
      <c r="I110" s="25"/>
      <c r="J110" s="25"/>
      <c r="K110" s="25"/>
      <c r="L110" s="25"/>
      <c r="M110" s="25"/>
      <c r="N110" s="25"/>
      <c r="O110" s="25"/>
      <c r="P110" s="25"/>
      <c r="Q110" s="25"/>
      <c r="R110" s="25"/>
      <c r="S110" s="25"/>
      <c r="T110" s="25"/>
      <c r="U110" s="25"/>
      <c r="V110" s="25"/>
      <c r="W110" s="25"/>
      <c r="X110" s="25"/>
      <c r="Y110" s="25"/>
      <c r="Z110" s="25"/>
      <c r="AA110" s="25"/>
    </row>
    <row r="111">
      <c r="A111" s="25"/>
      <c r="B111" s="24"/>
      <c r="C111" s="24"/>
      <c r="D111" s="25"/>
      <c r="E111" s="25"/>
      <c r="F111" s="25"/>
      <c r="G111" s="25"/>
      <c r="H111" s="25"/>
      <c r="I111" s="25"/>
      <c r="J111" s="25"/>
      <c r="K111" s="25"/>
      <c r="L111" s="25"/>
      <c r="M111" s="25"/>
      <c r="N111" s="25"/>
      <c r="O111" s="25"/>
      <c r="P111" s="25"/>
      <c r="Q111" s="25"/>
      <c r="R111" s="25"/>
      <c r="S111" s="25"/>
      <c r="T111" s="25"/>
      <c r="U111" s="25"/>
      <c r="V111" s="25"/>
      <c r="W111" s="25"/>
      <c r="X111" s="25"/>
      <c r="Y111" s="25"/>
      <c r="Z111" s="25"/>
      <c r="AA111" s="25"/>
    </row>
    <row r="112">
      <c r="A112" s="25"/>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c r="AA112" s="25"/>
    </row>
    <row r="113">
      <c r="A113" s="25"/>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c r="AA113" s="25"/>
    </row>
    <row r="114">
      <c r="A114" s="25"/>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c r="AA114" s="25"/>
    </row>
    <row r="115">
      <c r="A115" s="25"/>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c r="AA115" s="25"/>
    </row>
    <row r="116">
      <c r="A116" s="25"/>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c r="AA116" s="25"/>
    </row>
    <row r="117">
      <c r="A117" s="25"/>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c r="AA117" s="25"/>
    </row>
    <row r="118">
      <c r="A118" s="25"/>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c r="AA118" s="25"/>
    </row>
    <row r="119">
      <c r="A119" s="25"/>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c r="AA119" s="25"/>
    </row>
    <row r="120">
      <c r="A120" s="25"/>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c r="AA120" s="25"/>
    </row>
    <row r="121">
      <c r="A121" s="25"/>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c r="AA121" s="25"/>
    </row>
    <row r="122">
      <c r="A122" s="25"/>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c r="AA122" s="25"/>
    </row>
    <row r="123">
      <c r="A123" s="25"/>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c r="AA123" s="25"/>
    </row>
    <row r="124">
      <c r="A124" s="25"/>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c r="AA124" s="25"/>
    </row>
    <row r="125">
      <c r="A125" s="25"/>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c r="AA125" s="25"/>
    </row>
    <row r="126">
      <c r="A126" s="25"/>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c r="AA126" s="25"/>
    </row>
    <row r="127">
      <c r="A127" s="25"/>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row>
    <row r="128">
      <c r="A128" s="25"/>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row>
    <row r="129">
      <c r="A129" s="25"/>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row>
    <row r="130">
      <c r="A130" s="25"/>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row>
    <row r="131">
      <c r="A131" s="25"/>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row>
    <row r="132">
      <c r="A132" s="25"/>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row>
    <row r="133">
      <c r="A133" s="25"/>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c r="AA133" s="25"/>
    </row>
    <row r="134">
      <c r="A134" s="25"/>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c r="AA134" s="25"/>
    </row>
    <row r="135">
      <c r="A135" s="25"/>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row>
    <row r="136">
      <c r="A136" s="25"/>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row>
    <row r="137">
      <c r="A137" s="25"/>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row>
    <row r="138">
      <c r="A138" s="25"/>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row>
    <row r="139">
      <c r="A139" s="25"/>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row>
    <row r="140">
      <c r="A140" s="25"/>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row>
    <row r="141">
      <c r="A141" s="25"/>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row>
    <row r="142">
      <c r="A142" s="25"/>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c r="AA142" s="25"/>
    </row>
    <row r="143">
      <c r="A143" s="25"/>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c r="AA143" s="25"/>
    </row>
    <row r="144">
      <c r="A144" s="25"/>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row>
    <row r="145">
      <c r="A145" s="25"/>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row>
    <row r="146">
      <c r="A146" s="25"/>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row>
    <row r="147">
      <c r="A147" s="25"/>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row>
    <row r="148">
      <c r="A148" s="25"/>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row>
    <row r="149">
      <c r="A149" s="25"/>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row>
    <row r="150">
      <c r="A150" s="25"/>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row>
    <row r="151">
      <c r="A151" s="25"/>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c r="AA151" s="25"/>
    </row>
    <row r="152">
      <c r="A152" s="25"/>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c r="AA152" s="25"/>
    </row>
    <row r="153">
      <c r="A153" s="25"/>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c r="AA153" s="25"/>
    </row>
    <row r="154">
      <c r="A154" s="25"/>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row>
    <row r="155">
      <c r="A155" s="25"/>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row>
    <row r="156">
      <c r="A156" s="25"/>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row>
    <row r="157">
      <c r="A157" s="25"/>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row>
    <row r="158">
      <c r="A158" s="25"/>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c r="AA158" s="25"/>
    </row>
    <row r="159">
      <c r="A159" s="25"/>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c r="AA159" s="25"/>
    </row>
    <row r="160">
      <c r="A160" s="25"/>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row>
    <row r="161">
      <c r="A161" s="25"/>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row>
    <row r="162">
      <c r="A162" s="25"/>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row>
    <row r="163">
      <c r="A163" s="25"/>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row>
    <row r="164">
      <c r="A164" s="25"/>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c r="AA164" s="25"/>
    </row>
    <row r="165">
      <c r="A165" s="25"/>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c r="AA165" s="25"/>
    </row>
    <row r="166">
      <c r="A166" s="25"/>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row>
    <row r="167">
      <c r="A167" s="25"/>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row>
    <row r="168">
      <c r="A168" s="25"/>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row>
    <row r="169">
      <c r="A169" s="25"/>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row>
    <row r="170">
      <c r="A170" s="25"/>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c r="AA170" s="25"/>
    </row>
    <row r="171">
      <c r="A171" s="25"/>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c r="AA171" s="25"/>
    </row>
    <row r="172">
      <c r="A172" s="25"/>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row>
    <row r="173">
      <c r="A173" s="25"/>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row>
    <row r="174">
      <c r="A174" s="25"/>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c r="AA174" s="25"/>
    </row>
    <row r="175">
      <c r="A175" s="25"/>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c r="AA175" s="25"/>
    </row>
    <row r="176">
      <c r="A176" s="25"/>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row>
    <row r="177">
      <c r="A177" s="25"/>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row>
    <row r="178">
      <c r="A178" s="25"/>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row>
    <row r="179">
      <c r="A179" s="25"/>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c r="AA179" s="25"/>
    </row>
    <row r="180">
      <c r="A180" s="25"/>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c r="AA180" s="25"/>
    </row>
    <row r="181">
      <c r="A181" s="25"/>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row>
    <row r="182">
      <c r="A182" s="25"/>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row>
    <row r="183">
      <c r="A183" s="25"/>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row>
    <row r="184">
      <c r="A184" s="25"/>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row>
    <row r="185">
      <c r="A185" s="25"/>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row>
    <row r="186">
      <c r="A186" s="25"/>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row>
    <row r="187">
      <c r="A187" s="25"/>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row>
    <row r="188">
      <c r="A188" s="25"/>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row>
    <row r="189">
      <c r="A189" s="25"/>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row>
    <row r="190">
      <c r="A190" s="25"/>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row>
    <row r="191">
      <c r="A191" s="25"/>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row>
    <row r="192">
      <c r="A192" s="25"/>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row>
    <row r="193">
      <c r="A193" s="25"/>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row>
    <row r="194">
      <c r="A194" s="25"/>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row>
    <row r="195">
      <c r="A195" s="25"/>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row>
    <row r="196">
      <c r="A196" s="25"/>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row>
    <row r="197">
      <c r="A197" s="25"/>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row>
    <row r="198">
      <c r="A198" s="25"/>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row>
    <row r="199">
      <c r="A199" s="25"/>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row>
    <row r="200">
      <c r="A200" s="25"/>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row>
    <row r="201">
      <c r="A201" s="25"/>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row>
    <row r="202">
      <c r="A202" s="25"/>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row>
    <row r="203">
      <c r="A203" s="25"/>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row>
    <row r="204">
      <c r="A204" s="25"/>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row>
    <row r="205">
      <c r="A205" s="25"/>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c r="AA205" s="25"/>
    </row>
    <row r="206">
      <c r="A206" s="25"/>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row>
    <row r="207">
      <c r="A207" s="25"/>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row>
    <row r="208">
      <c r="A208" s="25"/>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row>
    <row r="209">
      <c r="A209" s="25"/>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row>
    <row r="210">
      <c r="A210" s="25"/>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row>
    <row r="211">
      <c r="A211" s="25"/>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row>
    <row r="212">
      <c r="A212" s="25"/>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row>
    <row r="213">
      <c r="A213" s="25"/>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row>
    <row r="214">
      <c r="A214" s="25"/>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row>
    <row r="215">
      <c r="A215" s="25"/>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row>
    <row r="216">
      <c r="A216" s="25"/>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row>
    <row r="217">
      <c r="A217" s="25"/>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row>
    <row r="218">
      <c r="A218" s="25"/>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c r="AA218" s="25"/>
    </row>
    <row r="219">
      <c r="A219" s="25"/>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c r="AA219" s="25"/>
    </row>
    <row r="220">
      <c r="A220" s="25"/>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row>
    <row r="221">
      <c r="A221" s="25"/>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row>
    <row r="222">
      <c r="A222" s="25"/>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c r="AA222" s="25"/>
    </row>
    <row r="223">
      <c r="A223" s="25"/>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row>
    <row r="224">
      <c r="A224" s="25"/>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row>
    <row r="225">
      <c r="A225" s="25"/>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c r="AA225" s="25"/>
    </row>
    <row r="226">
      <c r="A226" s="25"/>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c r="AA226" s="25"/>
    </row>
    <row r="227">
      <c r="A227" s="25"/>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c r="AA227" s="25"/>
    </row>
    <row r="228">
      <c r="A228" s="25"/>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c r="AA228" s="25"/>
    </row>
    <row r="229">
      <c r="A229" s="25"/>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c r="AA229" s="25"/>
    </row>
    <row r="230">
      <c r="A230" s="25"/>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c r="AA230" s="25"/>
    </row>
    <row r="231">
      <c r="A231" s="25"/>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c r="AA231" s="25"/>
    </row>
    <row r="232">
      <c r="A232" s="25"/>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c r="AA232" s="25"/>
    </row>
    <row r="233">
      <c r="A233" s="25"/>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c r="AA233" s="25"/>
    </row>
    <row r="234">
      <c r="A234" s="25"/>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c r="AA234" s="25"/>
    </row>
    <row r="235">
      <c r="A235" s="25"/>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c r="AA235" s="25"/>
    </row>
    <row r="236">
      <c r="A236" s="25"/>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c r="AA236" s="25"/>
    </row>
    <row r="237">
      <c r="A237" s="25"/>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c r="AA237" s="25"/>
    </row>
    <row r="238">
      <c r="A238" s="25"/>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c r="AA238" s="25"/>
    </row>
    <row r="239">
      <c r="A239" s="25"/>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c r="AA239" s="25"/>
    </row>
    <row r="240">
      <c r="A240" s="25"/>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c r="AA240" s="25"/>
    </row>
    <row r="241">
      <c r="A241" s="25"/>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c r="AA241" s="25"/>
    </row>
    <row r="242">
      <c r="A242" s="25"/>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c r="AA242" s="25"/>
    </row>
    <row r="243">
      <c r="A243" s="25"/>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c r="AA243" s="25"/>
    </row>
    <row r="244">
      <c r="A244" s="25"/>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c r="AA244" s="25"/>
    </row>
    <row r="245">
      <c r="A245" s="25"/>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c r="AA245" s="25"/>
    </row>
    <row r="246">
      <c r="A246" s="25"/>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c r="AA246" s="25"/>
    </row>
    <row r="247">
      <c r="A247" s="25"/>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c r="AA247" s="25"/>
    </row>
    <row r="248">
      <c r="A248" s="25"/>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c r="AA248" s="25"/>
    </row>
    <row r="249">
      <c r="A249" s="25"/>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c r="AA249" s="25"/>
    </row>
    <row r="250">
      <c r="A250" s="25"/>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c r="AA250" s="25"/>
    </row>
    <row r="251">
      <c r="A251" s="25"/>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c r="AA251" s="25"/>
    </row>
    <row r="252">
      <c r="A252" s="25"/>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c r="AA252" s="25"/>
    </row>
    <row r="253">
      <c r="A253" s="25"/>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c r="AA253" s="25"/>
    </row>
    <row r="254">
      <c r="A254" s="25"/>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c r="AA254" s="25"/>
    </row>
    <row r="255">
      <c r="A255" s="25"/>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c r="AA255" s="25"/>
    </row>
    <row r="256">
      <c r="A256" s="25"/>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c r="AA256" s="25"/>
    </row>
    <row r="257">
      <c r="A257" s="25"/>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c r="AA257" s="25"/>
    </row>
    <row r="258">
      <c r="A258" s="25"/>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c r="AA258" s="25"/>
    </row>
    <row r="259">
      <c r="A259" s="25"/>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c r="AA259" s="25"/>
    </row>
    <row r="260">
      <c r="A260" s="25"/>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c r="AA260" s="25"/>
    </row>
    <row r="261">
      <c r="A261" s="25"/>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c r="AA261" s="25"/>
    </row>
    <row r="262">
      <c r="A262" s="25"/>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c r="AA262" s="25"/>
    </row>
    <row r="263">
      <c r="A263" s="25"/>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c r="AA263" s="25"/>
    </row>
    <row r="264">
      <c r="A264" s="25"/>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c r="AA264" s="25"/>
    </row>
    <row r="265">
      <c r="A265" s="25"/>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c r="AA265" s="25"/>
    </row>
    <row r="266">
      <c r="A266" s="25"/>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c r="AA266" s="25"/>
    </row>
    <row r="267">
      <c r="A267" s="25"/>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c r="AA267" s="25"/>
    </row>
    <row r="268">
      <c r="A268" s="25"/>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c r="AA268" s="25"/>
    </row>
    <row r="269">
      <c r="A269" s="25"/>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c r="AA269" s="25"/>
    </row>
    <row r="270">
      <c r="A270" s="25"/>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c r="AA270" s="25"/>
    </row>
    <row r="271">
      <c r="A271" s="25"/>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c r="AA271" s="25"/>
    </row>
    <row r="272">
      <c r="A272" s="25"/>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c r="AA272" s="25"/>
    </row>
    <row r="273">
      <c r="A273" s="25"/>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c r="AA273" s="25"/>
    </row>
    <row r="274">
      <c r="A274" s="25"/>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c r="AA274" s="25"/>
    </row>
    <row r="275">
      <c r="A275" s="25"/>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c r="AA275" s="25"/>
    </row>
    <row r="276">
      <c r="A276" s="25"/>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c r="AA276" s="25"/>
    </row>
    <row r="277">
      <c r="A277" s="25"/>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c r="AA277" s="25"/>
    </row>
    <row r="278">
      <c r="A278" s="25"/>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c r="AA278" s="25"/>
    </row>
    <row r="279">
      <c r="A279" s="25"/>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c r="AA279" s="25"/>
    </row>
    <row r="280">
      <c r="A280" s="25"/>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c r="AA280" s="25"/>
    </row>
    <row r="281">
      <c r="A281" s="25"/>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c r="AA281" s="25"/>
    </row>
    <row r="282">
      <c r="A282" s="25"/>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c r="AA282" s="25"/>
    </row>
    <row r="283">
      <c r="A283" s="25"/>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c r="AA283" s="25"/>
    </row>
    <row r="284">
      <c r="A284" s="25"/>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c r="AA284" s="25"/>
    </row>
    <row r="285">
      <c r="A285" s="25"/>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c r="AA285" s="25"/>
    </row>
    <row r="286">
      <c r="A286" s="25"/>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c r="AA286" s="25"/>
    </row>
    <row r="287">
      <c r="A287" s="25"/>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c r="AA287" s="25"/>
    </row>
    <row r="288">
      <c r="A288" s="25"/>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c r="AA288" s="25"/>
    </row>
    <row r="289">
      <c r="A289" s="25"/>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c r="AA289" s="25"/>
    </row>
    <row r="290">
      <c r="A290" s="25"/>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c r="AA290" s="25"/>
    </row>
    <row r="291">
      <c r="A291" s="25"/>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c r="AA291" s="25"/>
    </row>
    <row r="292">
      <c r="A292" s="25"/>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c r="AA292" s="25"/>
    </row>
    <row r="293">
      <c r="A293" s="25"/>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c r="AA293" s="25"/>
    </row>
    <row r="294">
      <c r="A294" s="25"/>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c r="AA294" s="25"/>
    </row>
    <row r="295">
      <c r="A295" s="25"/>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c r="AA295" s="25"/>
    </row>
    <row r="296">
      <c r="A296" s="25"/>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c r="AA296" s="25"/>
    </row>
    <row r="297">
      <c r="A297" s="25"/>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c r="AA297" s="25"/>
    </row>
    <row r="298">
      <c r="A298" s="25"/>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c r="AA298" s="25"/>
    </row>
    <row r="299">
      <c r="A299" s="25"/>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c r="AA299" s="25"/>
    </row>
    <row r="300">
      <c r="A300" s="25"/>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c r="AA300" s="25"/>
    </row>
    <row r="301">
      <c r="A301" s="25"/>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c r="AA301" s="25"/>
    </row>
    <row r="302">
      <c r="A302" s="25"/>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c r="AA302" s="25"/>
    </row>
    <row r="303">
      <c r="A303" s="25"/>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c r="AA303" s="25"/>
    </row>
    <row r="304">
      <c r="A304" s="25"/>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c r="AA304" s="25"/>
    </row>
    <row r="305">
      <c r="A305" s="25"/>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c r="AA305" s="25"/>
    </row>
    <row r="306">
      <c r="A306" s="25"/>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c r="AA306" s="25"/>
    </row>
    <row r="307">
      <c r="A307" s="25"/>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c r="AA307" s="25"/>
    </row>
    <row r="308">
      <c r="A308" s="25"/>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c r="AA308" s="25"/>
    </row>
    <row r="309">
      <c r="A309" s="25"/>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c r="AA309" s="25"/>
    </row>
    <row r="310">
      <c r="A310" s="25"/>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c r="AA310" s="25"/>
    </row>
    <row r="311">
      <c r="A311" s="25"/>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c r="AA311" s="25"/>
    </row>
    <row r="312">
      <c r="A312" s="25"/>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c r="AA312" s="25"/>
    </row>
    <row r="313">
      <c r="A313" s="25"/>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c r="AA313" s="25"/>
    </row>
    <row r="314">
      <c r="A314" s="25"/>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c r="AA314" s="25"/>
    </row>
    <row r="315">
      <c r="A315" s="25"/>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c r="AA315" s="25"/>
    </row>
    <row r="316">
      <c r="A316" s="25"/>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c r="AA316" s="25"/>
    </row>
    <row r="317">
      <c r="A317" s="25"/>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c r="AA317" s="25"/>
    </row>
    <row r="318">
      <c r="A318" s="25"/>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c r="AA318" s="25"/>
    </row>
    <row r="319">
      <c r="A319" s="25"/>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c r="AA319" s="25"/>
    </row>
    <row r="320">
      <c r="A320" s="25"/>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c r="AA320" s="25"/>
    </row>
    <row r="321">
      <c r="A321" s="25"/>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c r="AA321" s="25"/>
    </row>
    <row r="322">
      <c r="A322" s="25"/>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c r="AA322" s="25"/>
    </row>
    <row r="323">
      <c r="A323" s="25"/>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c r="AA323" s="25"/>
    </row>
    <row r="324">
      <c r="A324" s="25"/>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c r="AA324" s="25"/>
    </row>
    <row r="325">
      <c r="A325" s="25"/>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c r="AA325" s="25"/>
    </row>
    <row r="326">
      <c r="A326" s="25"/>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c r="AA326" s="25"/>
    </row>
    <row r="327">
      <c r="A327" s="25"/>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c r="AA327" s="25"/>
    </row>
    <row r="328">
      <c r="A328" s="25"/>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c r="AA328" s="25"/>
    </row>
    <row r="329">
      <c r="A329" s="25"/>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c r="AA329" s="25"/>
    </row>
    <row r="330">
      <c r="A330" s="25"/>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c r="AA330" s="25"/>
    </row>
    <row r="331">
      <c r="A331" s="25"/>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c r="AA331" s="25"/>
    </row>
    <row r="332">
      <c r="A332" s="25"/>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c r="AA332" s="25"/>
    </row>
    <row r="333">
      <c r="A333" s="25"/>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c r="AA333" s="25"/>
    </row>
    <row r="334">
      <c r="A334" s="25"/>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c r="AA334" s="25"/>
    </row>
    <row r="335">
      <c r="A335" s="25"/>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c r="AA335" s="25"/>
    </row>
    <row r="336">
      <c r="A336" s="25"/>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c r="AA336" s="25"/>
    </row>
    <row r="337">
      <c r="A337" s="25"/>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c r="AA337" s="25"/>
    </row>
    <row r="338">
      <c r="A338" s="25"/>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c r="AA338" s="25"/>
    </row>
    <row r="339">
      <c r="A339" s="25"/>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c r="AA339" s="25"/>
    </row>
    <row r="340">
      <c r="A340" s="25"/>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c r="AA340" s="25"/>
    </row>
    <row r="341">
      <c r="A341" s="25"/>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c r="AA341" s="25"/>
    </row>
    <row r="342">
      <c r="A342" s="25"/>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c r="AA342" s="25"/>
    </row>
    <row r="343">
      <c r="A343" s="25"/>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c r="AA343" s="25"/>
    </row>
    <row r="344">
      <c r="A344" s="25"/>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c r="AA344" s="25"/>
    </row>
    <row r="345">
      <c r="A345" s="25"/>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c r="AA345" s="25"/>
    </row>
    <row r="346">
      <c r="A346" s="25"/>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c r="AA346" s="25"/>
    </row>
    <row r="347">
      <c r="A347" s="25"/>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c r="AA347" s="25"/>
    </row>
    <row r="348">
      <c r="A348" s="25"/>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c r="AA348" s="25"/>
    </row>
    <row r="349">
      <c r="A349" s="25"/>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c r="AA349" s="25"/>
    </row>
    <row r="350">
      <c r="A350" s="25"/>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c r="AA350" s="25"/>
    </row>
    <row r="351">
      <c r="A351" s="25"/>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c r="AA351" s="25"/>
    </row>
    <row r="352">
      <c r="A352" s="25"/>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c r="AA352" s="25"/>
    </row>
    <row r="353">
      <c r="A353" s="25"/>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c r="AA353" s="25"/>
    </row>
    <row r="354">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c r="AA354" s="25"/>
    </row>
    <row r="355">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c r="AA355" s="25"/>
    </row>
    <row r="356">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c r="AA356" s="25"/>
    </row>
    <row r="357">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c r="AA357" s="25"/>
    </row>
    <row r="358">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c r="AA358" s="25"/>
    </row>
    <row r="359">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c r="AA359" s="25"/>
    </row>
    <row r="360">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c r="AA360" s="25"/>
    </row>
    <row r="361">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c r="AA361" s="25"/>
    </row>
    <row r="362">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c r="AA362" s="25"/>
    </row>
    <row r="363">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c r="AA363" s="25"/>
    </row>
    <row r="364">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c r="AA364" s="25"/>
    </row>
    <row r="365">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c r="AA365" s="25"/>
    </row>
    <row r="366">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c r="AA366" s="25"/>
    </row>
    <row r="367">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c r="AA367" s="25"/>
    </row>
    <row r="368">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c r="AA368" s="25"/>
    </row>
    <row r="369">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c r="AA369" s="25"/>
    </row>
    <row r="370">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c r="AA370" s="25"/>
    </row>
    <row r="371">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c r="AA371" s="25"/>
    </row>
    <row r="372">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c r="AA372" s="25"/>
    </row>
    <row r="373">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c r="AA373" s="25"/>
    </row>
    <row r="374">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c r="AA374" s="25"/>
    </row>
    <row r="375">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c r="AA375" s="25"/>
    </row>
    <row r="376">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c r="AA376" s="25"/>
    </row>
    <row r="377">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c r="AA377" s="25"/>
    </row>
    <row r="378">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c r="AA378" s="25"/>
    </row>
    <row r="379">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c r="AA379" s="25"/>
    </row>
    <row r="380">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c r="AA380" s="25"/>
    </row>
    <row r="381">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c r="AA381" s="25"/>
    </row>
    <row r="382">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c r="AA382" s="25"/>
    </row>
    <row r="383">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c r="AA383" s="25"/>
    </row>
    <row r="384">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c r="AA384" s="25"/>
    </row>
    <row r="385">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c r="AA385" s="25"/>
    </row>
    <row r="386">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c r="AA386" s="25"/>
    </row>
    <row r="387">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c r="AA387" s="25"/>
    </row>
    <row r="388">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c r="AA388" s="25"/>
    </row>
    <row r="389">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c r="AA389" s="25"/>
    </row>
    <row r="390">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c r="AA390" s="25"/>
    </row>
    <row r="391">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c r="AA391" s="25"/>
    </row>
    <row r="392">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c r="AA392" s="25"/>
    </row>
    <row r="393">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c r="AA393" s="25"/>
    </row>
    <row r="394">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c r="AA394" s="25"/>
    </row>
    <row r="395">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c r="AA395" s="25"/>
    </row>
    <row r="396">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c r="AA396" s="25"/>
    </row>
    <row r="397">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c r="AA397" s="25"/>
    </row>
    <row r="398">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c r="AA398" s="25"/>
    </row>
    <row r="399">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c r="AA399" s="25"/>
    </row>
    <row r="400">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c r="AA400" s="25"/>
    </row>
    <row r="401">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c r="AA401" s="25"/>
    </row>
    <row r="402">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c r="AA402" s="25"/>
    </row>
    <row r="403">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c r="AA403" s="25"/>
    </row>
    <row r="404">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c r="AA404" s="25"/>
    </row>
    <row r="405">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c r="AA405" s="25"/>
    </row>
    <row r="406">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c r="AA406" s="25"/>
    </row>
    <row r="407">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c r="AA407" s="25"/>
    </row>
    <row r="408">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c r="AA408" s="25"/>
    </row>
    <row r="409">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c r="AA409" s="25"/>
    </row>
    <row r="410">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c r="AA410" s="25"/>
    </row>
    <row r="411">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c r="AA411" s="25"/>
    </row>
    <row r="412">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c r="AA412" s="25"/>
    </row>
    <row r="413">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c r="AA413" s="25"/>
    </row>
    <row r="414">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c r="AA414" s="25"/>
    </row>
    <row r="415">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c r="AA415" s="25"/>
    </row>
    <row r="416">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c r="AA416" s="25"/>
    </row>
    <row r="417">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c r="AA417" s="25"/>
    </row>
    <row r="418">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c r="AA418" s="25"/>
    </row>
    <row r="419">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c r="AA419" s="25"/>
    </row>
    <row r="420">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c r="AA420" s="25"/>
    </row>
    <row r="421">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c r="AA421" s="25"/>
    </row>
    <row r="422">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c r="AA422" s="25"/>
    </row>
    <row r="423">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c r="AA423" s="25"/>
    </row>
    <row r="424">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c r="AA424" s="25"/>
    </row>
    <row r="425">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c r="AA425" s="25"/>
    </row>
    <row r="426">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c r="AA426" s="25"/>
    </row>
    <row r="427">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c r="AA427" s="25"/>
    </row>
    <row r="428">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c r="AA428" s="25"/>
    </row>
    <row r="429">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c r="AA429" s="25"/>
    </row>
    <row r="430">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c r="AA430" s="25"/>
    </row>
    <row r="431">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c r="AA431" s="25"/>
    </row>
    <row r="432">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c r="AA432" s="25"/>
    </row>
    <row r="433">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c r="AA433" s="25"/>
    </row>
    <row r="434">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c r="AA434" s="25"/>
    </row>
    <row r="435">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c r="AA435" s="25"/>
    </row>
    <row r="436">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c r="AA436" s="25"/>
    </row>
    <row r="437">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c r="AA437" s="25"/>
    </row>
    <row r="438">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c r="AA438" s="25"/>
    </row>
    <row r="439">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c r="AA439" s="25"/>
    </row>
    <row r="440">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c r="AA440" s="25"/>
    </row>
    <row r="441">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c r="AA441" s="25"/>
    </row>
    <row r="442">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c r="AA442" s="25"/>
    </row>
    <row r="443">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c r="AA443" s="25"/>
    </row>
    <row r="444">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c r="AA444" s="25"/>
    </row>
    <row r="445">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c r="AA445" s="25"/>
    </row>
    <row r="446">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c r="AA446" s="25"/>
    </row>
    <row r="447">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c r="AA447" s="25"/>
    </row>
    <row r="448">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c r="AA448" s="25"/>
    </row>
    <row r="449">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c r="AA449" s="25"/>
    </row>
    <row r="450">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c r="AA450" s="25"/>
    </row>
    <row r="451">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c r="AA451" s="25"/>
    </row>
    <row r="452">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c r="AA452" s="25"/>
    </row>
    <row r="453">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c r="AA453" s="25"/>
    </row>
    <row r="454">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c r="AA454" s="25"/>
    </row>
    <row r="455">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c r="AA455" s="25"/>
    </row>
    <row r="456">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c r="AA456" s="25"/>
    </row>
    <row r="457">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c r="AA457" s="25"/>
    </row>
    <row r="458">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c r="AA458" s="25"/>
    </row>
    <row r="459">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c r="AA459" s="25"/>
    </row>
    <row r="460">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c r="AA460" s="25"/>
    </row>
    <row r="461">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c r="AA461" s="25"/>
    </row>
    <row r="462">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c r="AA462" s="25"/>
    </row>
    <row r="463">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c r="AA463" s="25"/>
    </row>
    <row r="464">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c r="AA464" s="25"/>
    </row>
    <row r="465">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c r="AA465" s="25"/>
    </row>
    <row r="466">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c r="AA466" s="25"/>
    </row>
    <row r="467">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c r="AA467" s="25"/>
    </row>
    <row r="468">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c r="AA468" s="25"/>
    </row>
    <row r="469">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c r="AA469" s="25"/>
    </row>
    <row r="470">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c r="AA470" s="25"/>
    </row>
    <row r="471">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c r="AA471" s="25"/>
    </row>
    <row r="472">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c r="AA472" s="25"/>
    </row>
    <row r="473">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c r="AA473" s="25"/>
    </row>
    <row r="474">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c r="AA474" s="25"/>
    </row>
    <row r="475">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c r="AA475" s="25"/>
    </row>
    <row r="476">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c r="AA476" s="25"/>
    </row>
    <row r="477">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c r="AA477" s="25"/>
    </row>
    <row r="478">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c r="AA478" s="25"/>
    </row>
    <row r="479">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c r="AA479" s="25"/>
    </row>
    <row r="480">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c r="AA480" s="25"/>
    </row>
    <row r="481">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c r="AA481" s="25"/>
    </row>
    <row r="482">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c r="AA482" s="25"/>
    </row>
    <row r="483">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c r="AA483" s="25"/>
    </row>
    <row r="484">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c r="AA484" s="25"/>
    </row>
    <row r="485">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c r="AA485" s="25"/>
    </row>
    <row r="486">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c r="AA486" s="25"/>
    </row>
    <row r="487">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c r="AA487" s="25"/>
    </row>
    <row r="488">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c r="AA488" s="25"/>
    </row>
    <row r="489">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c r="AA489" s="25"/>
    </row>
    <row r="490">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c r="AA490" s="25"/>
    </row>
    <row r="491">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c r="AA491" s="25"/>
    </row>
    <row r="492">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c r="AA492" s="25"/>
    </row>
    <row r="493">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c r="AA493" s="25"/>
    </row>
    <row r="494">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c r="AA494" s="25"/>
    </row>
    <row r="495">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c r="AA495" s="25"/>
    </row>
    <row r="496">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c r="AA496" s="25"/>
    </row>
    <row r="497">
      <c r="A497" s="25"/>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c r="AA497" s="25"/>
    </row>
    <row r="498">
      <c r="A498" s="25"/>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c r="AA498" s="25"/>
    </row>
    <row r="499">
      <c r="A499" s="25"/>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c r="AA499" s="25"/>
    </row>
    <row r="500">
      <c r="A500" s="25"/>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c r="AA500" s="25"/>
    </row>
    <row r="501">
      <c r="A501" s="25"/>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c r="AA501" s="25"/>
    </row>
    <row r="502">
      <c r="A502" s="25"/>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c r="AA502" s="25"/>
    </row>
    <row r="503">
      <c r="A503" s="25"/>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c r="AA503" s="25"/>
    </row>
    <row r="504">
      <c r="A504" s="25"/>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c r="AA504" s="25"/>
    </row>
    <row r="505">
      <c r="A505" s="25"/>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c r="AA505" s="25"/>
    </row>
    <row r="506">
      <c r="A506" s="25"/>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c r="AA506" s="25"/>
    </row>
    <row r="507">
      <c r="A507" s="25"/>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c r="AA507" s="25"/>
    </row>
    <row r="508">
      <c r="A508" s="25"/>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c r="AA508" s="25"/>
    </row>
    <row r="509">
      <c r="A509" s="25"/>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c r="AA509" s="25"/>
    </row>
    <row r="510">
      <c r="A510" s="25"/>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c r="AA510" s="25"/>
    </row>
    <row r="511">
      <c r="A511" s="25"/>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c r="AA511" s="25"/>
    </row>
    <row r="512">
      <c r="A512" s="25"/>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c r="AA512" s="25"/>
    </row>
    <row r="513">
      <c r="A513" s="25"/>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c r="AA513" s="25"/>
    </row>
    <row r="514">
      <c r="A514" s="25"/>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c r="AA514" s="25"/>
    </row>
    <row r="515">
      <c r="A515" s="25"/>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c r="AA515" s="25"/>
    </row>
    <row r="516">
      <c r="A516" s="25"/>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c r="AA516" s="25"/>
    </row>
    <row r="517">
      <c r="A517" s="25"/>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c r="AA517" s="25"/>
    </row>
    <row r="518">
      <c r="A518" s="25"/>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c r="AA518" s="25"/>
    </row>
    <row r="519">
      <c r="A519" s="25"/>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c r="AA519" s="25"/>
    </row>
    <row r="520">
      <c r="A520" s="25"/>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c r="AA520" s="25"/>
    </row>
    <row r="521">
      <c r="A521" s="25"/>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c r="AA521" s="25"/>
    </row>
    <row r="522">
      <c r="A522" s="25"/>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c r="AA522" s="25"/>
    </row>
    <row r="523">
      <c r="A523" s="25"/>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c r="AA523" s="25"/>
    </row>
    <row r="524">
      <c r="A524" s="25"/>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c r="AA524" s="25"/>
    </row>
    <row r="525">
      <c r="A525" s="25"/>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c r="AA525" s="25"/>
    </row>
    <row r="526">
      <c r="A526" s="25"/>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c r="AA526" s="25"/>
    </row>
    <row r="527">
      <c r="A527" s="25"/>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c r="AA527" s="25"/>
    </row>
    <row r="528">
      <c r="A528" s="25"/>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c r="AA528" s="25"/>
    </row>
    <row r="529">
      <c r="A529" s="25"/>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c r="AA529" s="25"/>
    </row>
    <row r="530">
      <c r="A530" s="25"/>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c r="AA530" s="25"/>
    </row>
    <row r="531">
      <c r="A531" s="25"/>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c r="AA531" s="25"/>
    </row>
    <row r="532">
      <c r="A532" s="25"/>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c r="AA532" s="25"/>
    </row>
    <row r="533">
      <c r="A533" s="25"/>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c r="AA533" s="25"/>
    </row>
    <row r="534">
      <c r="A534" s="25"/>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c r="AA534" s="25"/>
    </row>
    <row r="535">
      <c r="A535" s="25"/>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c r="AA535" s="25"/>
    </row>
    <row r="536">
      <c r="A536" s="25"/>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c r="AA536" s="25"/>
    </row>
    <row r="537">
      <c r="A537" s="25"/>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c r="AA537" s="25"/>
    </row>
    <row r="538">
      <c r="A538" s="25"/>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c r="AA538" s="25"/>
    </row>
    <row r="539">
      <c r="A539" s="25"/>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c r="AA539" s="25"/>
    </row>
    <row r="540">
      <c r="A540" s="25"/>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c r="AA540" s="25"/>
    </row>
    <row r="541">
      <c r="A541" s="25"/>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c r="AA541" s="25"/>
    </row>
    <row r="542">
      <c r="A542" s="25"/>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c r="AA542" s="25"/>
    </row>
    <row r="543">
      <c r="A543" s="25"/>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c r="AA543" s="25"/>
    </row>
    <row r="544">
      <c r="A544" s="25"/>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c r="AA544" s="25"/>
    </row>
    <row r="545">
      <c r="A545" s="25"/>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c r="AA545" s="25"/>
    </row>
    <row r="546">
      <c r="A546" s="25"/>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c r="AA546" s="25"/>
    </row>
    <row r="547">
      <c r="A547" s="25"/>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c r="AA547" s="25"/>
    </row>
    <row r="548">
      <c r="A548" s="25"/>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c r="AA548" s="25"/>
    </row>
    <row r="549">
      <c r="A549" s="25"/>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c r="AA549" s="25"/>
    </row>
    <row r="550">
      <c r="A550" s="25"/>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c r="AA550" s="25"/>
    </row>
    <row r="551">
      <c r="A551" s="25"/>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c r="AA551" s="25"/>
    </row>
    <row r="552">
      <c r="A552" s="25"/>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c r="AA552" s="25"/>
    </row>
    <row r="553">
      <c r="A553" s="25"/>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c r="AA553" s="25"/>
    </row>
    <row r="554">
      <c r="A554" s="25"/>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c r="AA554" s="25"/>
    </row>
    <row r="555">
      <c r="A555" s="25"/>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c r="AA555" s="25"/>
    </row>
    <row r="556">
      <c r="A556" s="25"/>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c r="AA556" s="25"/>
    </row>
    <row r="557">
      <c r="A557" s="25"/>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c r="AA557" s="25"/>
    </row>
    <row r="558">
      <c r="A558" s="25"/>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c r="AA558" s="25"/>
    </row>
    <row r="559">
      <c r="A559" s="25"/>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c r="AA559" s="25"/>
    </row>
    <row r="560">
      <c r="A560" s="25"/>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c r="AA560" s="25"/>
    </row>
    <row r="561">
      <c r="A561" s="25"/>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c r="AA561" s="25"/>
    </row>
    <row r="562">
      <c r="A562" s="25"/>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c r="AA562" s="25"/>
    </row>
    <row r="563">
      <c r="A563" s="25"/>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c r="AA563" s="25"/>
    </row>
    <row r="564">
      <c r="A564" s="25"/>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c r="AA564" s="25"/>
    </row>
    <row r="565">
      <c r="A565" s="25"/>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c r="AA565" s="25"/>
    </row>
    <row r="566">
      <c r="A566" s="25"/>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c r="AA566" s="25"/>
    </row>
    <row r="567">
      <c r="A567" s="25"/>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c r="AA567" s="25"/>
    </row>
    <row r="568">
      <c r="A568" s="25"/>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c r="AA568" s="25"/>
    </row>
    <row r="569">
      <c r="A569" s="25"/>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c r="AA569" s="25"/>
    </row>
    <row r="570">
      <c r="A570" s="25"/>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c r="AA570" s="25"/>
    </row>
    <row r="571">
      <c r="A571" s="25"/>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c r="AA571" s="25"/>
    </row>
    <row r="572">
      <c r="A572" s="25"/>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c r="AA572" s="25"/>
    </row>
    <row r="573">
      <c r="A573" s="25"/>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c r="AA573" s="25"/>
    </row>
    <row r="574">
      <c r="A574" s="25"/>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c r="AA574" s="25"/>
    </row>
    <row r="575">
      <c r="A575" s="25"/>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c r="AA575" s="25"/>
    </row>
    <row r="576">
      <c r="A576" s="25"/>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c r="AA576" s="25"/>
    </row>
    <row r="577">
      <c r="A577" s="25"/>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c r="AA577" s="25"/>
    </row>
    <row r="578">
      <c r="A578" s="25"/>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c r="AA578" s="25"/>
    </row>
    <row r="579">
      <c r="A579" s="25"/>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c r="AA579" s="25"/>
    </row>
    <row r="580">
      <c r="A580" s="25"/>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c r="AA580" s="25"/>
    </row>
    <row r="581">
      <c r="A581" s="25"/>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c r="AA581" s="25"/>
    </row>
    <row r="582">
      <c r="A582" s="25"/>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c r="AA582" s="25"/>
    </row>
    <row r="583">
      <c r="A583" s="25"/>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c r="AA583" s="25"/>
    </row>
    <row r="584">
      <c r="A584" s="25"/>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c r="AA584" s="25"/>
    </row>
    <row r="585">
      <c r="A585" s="25"/>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c r="AA585" s="25"/>
    </row>
    <row r="586">
      <c r="A586" s="25"/>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c r="AA586" s="25"/>
    </row>
    <row r="587">
      <c r="A587" s="25"/>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c r="AA587" s="25"/>
    </row>
    <row r="588">
      <c r="A588" s="25"/>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c r="AA588" s="25"/>
    </row>
    <row r="589">
      <c r="A589" s="25"/>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c r="AA589" s="25"/>
    </row>
    <row r="590">
      <c r="A590" s="25"/>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c r="AA590" s="25"/>
    </row>
    <row r="591">
      <c r="A591" s="25"/>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c r="AA591" s="25"/>
    </row>
    <row r="592">
      <c r="A592" s="25"/>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c r="AA592" s="25"/>
    </row>
    <row r="593">
      <c r="A593" s="25"/>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c r="AA593" s="25"/>
    </row>
    <row r="594">
      <c r="A594" s="25"/>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c r="AA594" s="25"/>
    </row>
    <row r="595">
      <c r="A595" s="25"/>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c r="AA595" s="25"/>
    </row>
    <row r="596">
      <c r="A596" s="25"/>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c r="AA596" s="25"/>
    </row>
    <row r="597">
      <c r="A597" s="25"/>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c r="AA597" s="25"/>
    </row>
    <row r="598">
      <c r="A598" s="25"/>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c r="AA598" s="25"/>
    </row>
    <row r="599">
      <c r="A599" s="25"/>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c r="AA599" s="25"/>
    </row>
    <row r="600">
      <c r="A600" s="25"/>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c r="AA600" s="25"/>
    </row>
    <row r="601">
      <c r="A601" s="25"/>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c r="AA601" s="25"/>
    </row>
    <row r="602">
      <c r="A602" s="25"/>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c r="AA602" s="25"/>
    </row>
    <row r="603">
      <c r="A603" s="25"/>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c r="AA603" s="25"/>
    </row>
    <row r="604">
      <c r="A604" s="25"/>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c r="AA604" s="25"/>
    </row>
    <row r="605">
      <c r="A605" s="25"/>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c r="AA605" s="25"/>
    </row>
    <row r="606">
      <c r="A606" s="25"/>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c r="AA606" s="25"/>
    </row>
    <row r="607">
      <c r="A607" s="25"/>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c r="AA607" s="25"/>
    </row>
    <row r="608">
      <c r="A608" s="25"/>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c r="AA608" s="25"/>
    </row>
    <row r="609">
      <c r="A609" s="25"/>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c r="AA609" s="25"/>
    </row>
    <row r="610">
      <c r="A610" s="25"/>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c r="AA610" s="25"/>
    </row>
    <row r="611">
      <c r="A611" s="25"/>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c r="AA611" s="25"/>
    </row>
    <row r="612">
      <c r="A612" s="25"/>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c r="AA612" s="25"/>
    </row>
    <row r="613">
      <c r="A613" s="25"/>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c r="AA613" s="25"/>
    </row>
    <row r="614">
      <c r="A614" s="25"/>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c r="AA614" s="25"/>
    </row>
    <row r="615">
      <c r="A615" s="25"/>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c r="AA615" s="25"/>
    </row>
    <row r="616">
      <c r="A616" s="25"/>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c r="AA616" s="25"/>
    </row>
    <row r="617">
      <c r="A617" s="25"/>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c r="AA617" s="25"/>
    </row>
    <row r="618">
      <c r="A618" s="25"/>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c r="AA618" s="25"/>
    </row>
    <row r="619">
      <c r="A619" s="25"/>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c r="AA619" s="25"/>
    </row>
    <row r="620">
      <c r="A620" s="25"/>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c r="AA620" s="25"/>
    </row>
    <row r="621">
      <c r="A621" s="25"/>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c r="AA621" s="25"/>
    </row>
    <row r="622">
      <c r="A622" s="25"/>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c r="AA622" s="25"/>
    </row>
    <row r="623">
      <c r="A623" s="25"/>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c r="AA623" s="25"/>
    </row>
    <row r="624">
      <c r="A624" s="25"/>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c r="AA624" s="25"/>
    </row>
    <row r="625">
      <c r="A625" s="25"/>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c r="AA625" s="25"/>
    </row>
    <row r="626">
      <c r="A626" s="25"/>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c r="AA626" s="25"/>
    </row>
    <row r="627">
      <c r="A627" s="25"/>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c r="AA627" s="25"/>
    </row>
    <row r="628">
      <c r="A628" s="25"/>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c r="AA628" s="25"/>
    </row>
    <row r="629">
      <c r="A629" s="25"/>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c r="AA629" s="25"/>
    </row>
    <row r="630">
      <c r="A630" s="25"/>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c r="AA630" s="25"/>
    </row>
    <row r="631">
      <c r="A631" s="25"/>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c r="AA631" s="25"/>
    </row>
    <row r="632">
      <c r="A632" s="25"/>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c r="AA632" s="25"/>
    </row>
    <row r="633">
      <c r="A633" s="25"/>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c r="AA633" s="25"/>
    </row>
    <row r="634">
      <c r="A634" s="25"/>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c r="AA634" s="25"/>
    </row>
    <row r="635">
      <c r="A635" s="25"/>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c r="AA635" s="25"/>
    </row>
    <row r="636">
      <c r="A636" s="25"/>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c r="AA636" s="25"/>
    </row>
    <row r="637">
      <c r="A637" s="25"/>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c r="AA637" s="25"/>
    </row>
    <row r="638">
      <c r="A638" s="25"/>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c r="AA638" s="25"/>
    </row>
    <row r="639">
      <c r="A639" s="25"/>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c r="AA639" s="25"/>
    </row>
    <row r="640">
      <c r="A640" s="25"/>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c r="AA640" s="25"/>
    </row>
    <row r="641">
      <c r="A641" s="25"/>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c r="AA641" s="25"/>
    </row>
    <row r="642">
      <c r="A642" s="25"/>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c r="AA642" s="25"/>
    </row>
    <row r="643">
      <c r="A643" s="25"/>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c r="AA643" s="25"/>
    </row>
    <row r="644">
      <c r="A644" s="25"/>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c r="AA644" s="25"/>
    </row>
    <row r="645">
      <c r="A645" s="25"/>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c r="AA645" s="25"/>
    </row>
    <row r="646">
      <c r="A646" s="25"/>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c r="AA646" s="25"/>
    </row>
    <row r="647">
      <c r="A647" s="25"/>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c r="AA647" s="25"/>
    </row>
    <row r="648">
      <c r="A648" s="25"/>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c r="AA648" s="25"/>
    </row>
    <row r="649">
      <c r="A649" s="25"/>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c r="AA649" s="25"/>
    </row>
    <row r="650">
      <c r="A650" s="25"/>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c r="AA650" s="25"/>
    </row>
    <row r="651">
      <c r="A651" s="25"/>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c r="AA651" s="25"/>
    </row>
    <row r="652">
      <c r="A652" s="25"/>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c r="AA652" s="25"/>
    </row>
    <row r="653">
      <c r="A653" s="25"/>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c r="AA653" s="25"/>
    </row>
    <row r="654">
      <c r="A654" s="25"/>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c r="AA654" s="25"/>
    </row>
    <row r="655">
      <c r="A655" s="25"/>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c r="AA655" s="25"/>
    </row>
    <row r="656">
      <c r="A656" s="25"/>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c r="AA656" s="25"/>
    </row>
    <row r="657">
      <c r="A657" s="25"/>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c r="AA657" s="25"/>
    </row>
    <row r="658">
      <c r="A658" s="25"/>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c r="AA658" s="25"/>
    </row>
    <row r="659">
      <c r="A659" s="25"/>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c r="AA659" s="25"/>
    </row>
    <row r="660">
      <c r="A660" s="25"/>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c r="AA660" s="25"/>
    </row>
    <row r="661">
      <c r="A661" s="25"/>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c r="AA661" s="25"/>
    </row>
    <row r="662">
      <c r="A662" s="25"/>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c r="AA662" s="25"/>
    </row>
    <row r="663">
      <c r="A663" s="25"/>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c r="AA663" s="25"/>
    </row>
    <row r="664">
      <c r="A664" s="25"/>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c r="AA664" s="25"/>
    </row>
    <row r="665">
      <c r="A665" s="25"/>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c r="AA665" s="25"/>
    </row>
    <row r="666">
      <c r="A666" s="25"/>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c r="AA666" s="25"/>
    </row>
    <row r="667">
      <c r="A667" s="25"/>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c r="AA667" s="25"/>
    </row>
    <row r="668">
      <c r="A668" s="25"/>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c r="AA668" s="25"/>
    </row>
    <row r="669">
      <c r="A669" s="25"/>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c r="AA669" s="25"/>
    </row>
    <row r="670">
      <c r="A670" s="25"/>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c r="AA670" s="25"/>
    </row>
    <row r="671">
      <c r="A671" s="25"/>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c r="AA671" s="25"/>
    </row>
    <row r="672">
      <c r="A672" s="25"/>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c r="AA672" s="25"/>
    </row>
    <row r="673">
      <c r="A673" s="25"/>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c r="AA673" s="25"/>
    </row>
    <row r="674">
      <c r="A674" s="25"/>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c r="AA674" s="25"/>
    </row>
    <row r="675">
      <c r="A675" s="25"/>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c r="AA675" s="25"/>
    </row>
    <row r="676">
      <c r="A676" s="25"/>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c r="AA676" s="25"/>
    </row>
    <row r="677">
      <c r="A677" s="25"/>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c r="AA677" s="25"/>
    </row>
    <row r="678">
      <c r="A678" s="25"/>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c r="AA678" s="25"/>
    </row>
    <row r="679">
      <c r="A679" s="25"/>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c r="AA679" s="25"/>
    </row>
    <row r="680">
      <c r="A680" s="25"/>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c r="AA680" s="25"/>
    </row>
    <row r="681">
      <c r="A681" s="25"/>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c r="AA681" s="25"/>
    </row>
    <row r="682">
      <c r="A682" s="25"/>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c r="AA682" s="25"/>
    </row>
    <row r="683">
      <c r="A683" s="25"/>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c r="AA683" s="25"/>
    </row>
    <row r="684">
      <c r="A684" s="25"/>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c r="AA684" s="25"/>
    </row>
    <row r="685">
      <c r="A685" s="25"/>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c r="AA685" s="25"/>
    </row>
    <row r="686">
      <c r="A686" s="25"/>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c r="AA686" s="25"/>
    </row>
    <row r="687">
      <c r="A687" s="25"/>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c r="AA687" s="25"/>
    </row>
    <row r="688">
      <c r="A688" s="25"/>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c r="AA688" s="25"/>
    </row>
    <row r="689">
      <c r="A689" s="25"/>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c r="AA689" s="25"/>
    </row>
    <row r="690">
      <c r="A690" s="25"/>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c r="AA690" s="25"/>
    </row>
    <row r="691">
      <c r="A691" s="25"/>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c r="AA691" s="25"/>
    </row>
    <row r="692">
      <c r="A692" s="25"/>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c r="AA692" s="25"/>
    </row>
    <row r="693">
      <c r="A693" s="25"/>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c r="AA693" s="25"/>
    </row>
    <row r="694">
      <c r="A694" s="25"/>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c r="AA694" s="25"/>
    </row>
    <row r="695">
      <c r="A695" s="25"/>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c r="AA695" s="25"/>
    </row>
    <row r="696">
      <c r="A696" s="25"/>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c r="AA696" s="25"/>
    </row>
    <row r="697">
      <c r="A697" s="25"/>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c r="AA697" s="25"/>
    </row>
    <row r="698">
      <c r="A698" s="25"/>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c r="AA698" s="25"/>
    </row>
    <row r="699">
      <c r="A699" s="25"/>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c r="AA699" s="25"/>
    </row>
    <row r="700">
      <c r="A700" s="25"/>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c r="AA700" s="25"/>
    </row>
    <row r="701">
      <c r="A701" s="25"/>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c r="AA701" s="25"/>
    </row>
    <row r="702">
      <c r="A702" s="25"/>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c r="AA702" s="25"/>
    </row>
    <row r="703">
      <c r="A703" s="25"/>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c r="AA703" s="25"/>
    </row>
    <row r="704">
      <c r="A704" s="25"/>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c r="AA704" s="25"/>
    </row>
    <row r="705">
      <c r="A705" s="25"/>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c r="AA705" s="25"/>
    </row>
    <row r="706">
      <c r="A706" s="25"/>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c r="AA706" s="25"/>
    </row>
    <row r="707">
      <c r="A707" s="25"/>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c r="AA707" s="25"/>
    </row>
    <row r="708">
      <c r="A708" s="25"/>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c r="AA708" s="25"/>
    </row>
    <row r="709">
      <c r="A709" s="25"/>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c r="AA709" s="25"/>
    </row>
    <row r="710">
      <c r="A710" s="25"/>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c r="AA710" s="25"/>
    </row>
    <row r="711">
      <c r="A711" s="25"/>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c r="AA711" s="25"/>
    </row>
    <row r="712">
      <c r="A712" s="25"/>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c r="AA712" s="25"/>
    </row>
    <row r="713">
      <c r="A713" s="25"/>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c r="AA713" s="25"/>
    </row>
    <row r="714">
      <c r="A714" s="25"/>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c r="AA714" s="25"/>
    </row>
    <row r="715">
      <c r="A715" s="25"/>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c r="AA715" s="25"/>
    </row>
    <row r="716">
      <c r="A716" s="25"/>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c r="AA716" s="25"/>
    </row>
    <row r="717">
      <c r="A717" s="25"/>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c r="AA717" s="25"/>
    </row>
    <row r="718">
      <c r="A718" s="25"/>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c r="AA718" s="25"/>
    </row>
    <row r="719">
      <c r="A719" s="25"/>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c r="AA719" s="25"/>
    </row>
    <row r="720">
      <c r="A720" s="25"/>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c r="AA720" s="25"/>
    </row>
    <row r="721">
      <c r="A721" s="25"/>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c r="AA721" s="25"/>
    </row>
    <row r="722">
      <c r="A722" s="25"/>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c r="AA722" s="25"/>
    </row>
    <row r="723">
      <c r="A723" s="25"/>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c r="AA723" s="25"/>
    </row>
    <row r="724">
      <c r="A724" s="25"/>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c r="AA724" s="25"/>
    </row>
    <row r="725">
      <c r="A725" s="25"/>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c r="AA725" s="25"/>
    </row>
    <row r="726">
      <c r="A726" s="25"/>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c r="AA726" s="25"/>
    </row>
    <row r="727">
      <c r="A727" s="25"/>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c r="AA727" s="25"/>
    </row>
    <row r="728">
      <c r="A728" s="25"/>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c r="AA728" s="25"/>
    </row>
    <row r="729">
      <c r="A729" s="25"/>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c r="AA729" s="25"/>
    </row>
    <row r="730">
      <c r="A730" s="25"/>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c r="AA730" s="25"/>
    </row>
    <row r="731">
      <c r="A731" s="25"/>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c r="AA731" s="25"/>
    </row>
    <row r="732">
      <c r="A732" s="25"/>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c r="AA732" s="25"/>
    </row>
    <row r="733">
      <c r="A733" s="25"/>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c r="AA733" s="25"/>
    </row>
    <row r="734">
      <c r="A734" s="25"/>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c r="AA734" s="25"/>
    </row>
    <row r="735">
      <c r="A735" s="25"/>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c r="AA735" s="25"/>
    </row>
    <row r="736">
      <c r="A736" s="25"/>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c r="AA736" s="25"/>
    </row>
    <row r="737">
      <c r="A737" s="25"/>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c r="AA737" s="25"/>
    </row>
    <row r="738">
      <c r="A738" s="25"/>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c r="AA738" s="25"/>
    </row>
    <row r="739">
      <c r="A739" s="25"/>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c r="AA739" s="25"/>
    </row>
    <row r="740">
      <c r="A740" s="25"/>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c r="AA740" s="25"/>
    </row>
    <row r="741">
      <c r="A741" s="25"/>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c r="AA741" s="25"/>
    </row>
    <row r="742">
      <c r="A742" s="25"/>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c r="AA742" s="25"/>
    </row>
    <row r="743">
      <c r="A743" s="25"/>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c r="AA743" s="25"/>
    </row>
    <row r="744">
      <c r="A744" s="25"/>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c r="AA744" s="25"/>
    </row>
    <row r="745">
      <c r="A745" s="25"/>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c r="AA745" s="25"/>
    </row>
    <row r="746">
      <c r="A746" s="25"/>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c r="AA746" s="25"/>
    </row>
    <row r="747">
      <c r="A747" s="25"/>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c r="AA747" s="25"/>
    </row>
    <row r="748">
      <c r="A748" s="25"/>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c r="AA748" s="25"/>
    </row>
    <row r="749">
      <c r="A749" s="25"/>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c r="AA749" s="25"/>
    </row>
    <row r="750">
      <c r="A750" s="25"/>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c r="AA750" s="25"/>
    </row>
    <row r="751">
      <c r="A751" s="25"/>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c r="AA751" s="25"/>
    </row>
    <row r="752">
      <c r="A752" s="25"/>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c r="AA752" s="25"/>
    </row>
    <row r="753">
      <c r="A753" s="25"/>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c r="AA753" s="25"/>
    </row>
    <row r="754">
      <c r="A754" s="25"/>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c r="AA754" s="25"/>
    </row>
    <row r="755">
      <c r="A755" s="25"/>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c r="AA755" s="25"/>
    </row>
    <row r="756">
      <c r="A756" s="25"/>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c r="AA756" s="25"/>
    </row>
    <row r="757">
      <c r="A757" s="25"/>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c r="AA757" s="25"/>
    </row>
    <row r="758">
      <c r="A758" s="25"/>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c r="AA758" s="25"/>
    </row>
    <row r="759">
      <c r="A759" s="25"/>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c r="AA759" s="25"/>
    </row>
    <row r="760">
      <c r="A760" s="25"/>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c r="AA760" s="25"/>
    </row>
    <row r="761">
      <c r="A761" s="25"/>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c r="AA761" s="25"/>
    </row>
    <row r="762">
      <c r="A762" s="25"/>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c r="AA762" s="25"/>
    </row>
    <row r="763">
      <c r="A763" s="25"/>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c r="AA763" s="25"/>
    </row>
    <row r="764">
      <c r="A764" s="25"/>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c r="AA764" s="25"/>
    </row>
    <row r="765">
      <c r="A765" s="25"/>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c r="AA765" s="25"/>
    </row>
    <row r="766">
      <c r="A766" s="25"/>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c r="AA766" s="25"/>
    </row>
    <row r="767">
      <c r="A767" s="25"/>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c r="AA767" s="25"/>
    </row>
    <row r="768">
      <c r="A768" s="25"/>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c r="AA768" s="25"/>
    </row>
    <row r="769">
      <c r="A769" s="25"/>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c r="AA769" s="25"/>
    </row>
    <row r="770">
      <c r="A770" s="25"/>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c r="AA770" s="25"/>
    </row>
    <row r="771">
      <c r="A771" s="25"/>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c r="AA771" s="25"/>
    </row>
    <row r="772">
      <c r="A772" s="25"/>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c r="AA772" s="25"/>
    </row>
    <row r="773">
      <c r="A773" s="25"/>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c r="AA773" s="25"/>
    </row>
    <row r="774">
      <c r="A774" s="25"/>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c r="AA774" s="25"/>
    </row>
    <row r="775">
      <c r="A775" s="25"/>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c r="AA775" s="25"/>
    </row>
    <row r="776">
      <c r="A776" s="25"/>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c r="AA776" s="25"/>
    </row>
    <row r="777">
      <c r="A777" s="25"/>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c r="AA777" s="25"/>
    </row>
    <row r="778">
      <c r="A778" s="25"/>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c r="AA778" s="25"/>
    </row>
    <row r="779">
      <c r="A779" s="25"/>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c r="AA779" s="25"/>
    </row>
    <row r="780">
      <c r="A780" s="25"/>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c r="AA780" s="25"/>
    </row>
    <row r="781">
      <c r="A781" s="25"/>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c r="AA781" s="25"/>
    </row>
    <row r="782">
      <c r="A782" s="25"/>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c r="AA782" s="25"/>
    </row>
    <row r="783">
      <c r="A783" s="25"/>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c r="AA783" s="25"/>
    </row>
    <row r="784">
      <c r="A784" s="25"/>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c r="AA784" s="25"/>
    </row>
    <row r="785">
      <c r="A785" s="25"/>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c r="AA785" s="25"/>
    </row>
    <row r="786">
      <c r="A786" s="25"/>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c r="AA786" s="25"/>
    </row>
    <row r="787">
      <c r="A787" s="25"/>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c r="AA787" s="25"/>
    </row>
    <row r="788">
      <c r="A788" s="25"/>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c r="AA788" s="25"/>
    </row>
    <row r="789">
      <c r="A789" s="25"/>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c r="AA789" s="25"/>
    </row>
    <row r="790">
      <c r="A790" s="25"/>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c r="AA790" s="25"/>
    </row>
    <row r="791">
      <c r="A791" s="25"/>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c r="AA791" s="25"/>
    </row>
    <row r="792">
      <c r="A792" s="25"/>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c r="AA792" s="25"/>
    </row>
    <row r="793">
      <c r="A793" s="25"/>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c r="AA793" s="25"/>
    </row>
    <row r="794">
      <c r="A794" s="25"/>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c r="AA794" s="25"/>
    </row>
    <row r="795">
      <c r="A795" s="25"/>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c r="AA795" s="25"/>
    </row>
    <row r="796">
      <c r="A796" s="25"/>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c r="AA796" s="25"/>
    </row>
    <row r="797">
      <c r="A797" s="25"/>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c r="AA797" s="25"/>
    </row>
    <row r="798">
      <c r="A798" s="25"/>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c r="AA798" s="25"/>
    </row>
    <row r="799">
      <c r="A799" s="25"/>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c r="AA799" s="25"/>
    </row>
    <row r="800">
      <c r="A800" s="25"/>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c r="AA800" s="25"/>
    </row>
    <row r="801">
      <c r="A801" s="25"/>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c r="AA801" s="25"/>
    </row>
    <row r="802">
      <c r="A802" s="25"/>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c r="AA802" s="25"/>
    </row>
    <row r="803">
      <c r="A803" s="25"/>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c r="AA803" s="25"/>
    </row>
    <row r="804">
      <c r="A804" s="25"/>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c r="AA804" s="25"/>
    </row>
    <row r="805">
      <c r="A805" s="25"/>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c r="AA805" s="25"/>
    </row>
    <row r="806">
      <c r="A806" s="25"/>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c r="AA806" s="25"/>
    </row>
    <row r="807">
      <c r="A807" s="25"/>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c r="AA807" s="25"/>
    </row>
    <row r="808">
      <c r="A808" s="25"/>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c r="AA808" s="25"/>
    </row>
    <row r="809">
      <c r="A809" s="25"/>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c r="AA809" s="25"/>
    </row>
    <row r="810">
      <c r="A810" s="25"/>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c r="AA810" s="25"/>
    </row>
    <row r="811">
      <c r="A811" s="25"/>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c r="AA811" s="25"/>
    </row>
    <row r="812">
      <c r="A812" s="25"/>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c r="AA812" s="25"/>
    </row>
    <row r="813">
      <c r="A813" s="25"/>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c r="AA813" s="25"/>
    </row>
    <row r="814">
      <c r="A814" s="25"/>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c r="AA814" s="25"/>
    </row>
    <row r="815">
      <c r="A815" s="25"/>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c r="AA815" s="25"/>
    </row>
    <row r="816">
      <c r="A816" s="25"/>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c r="AA816" s="25"/>
    </row>
    <row r="817">
      <c r="A817" s="25"/>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c r="AA817" s="25"/>
    </row>
    <row r="818">
      <c r="A818" s="25"/>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c r="AA818" s="25"/>
    </row>
    <row r="819">
      <c r="A819" s="25"/>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c r="AA819" s="25"/>
    </row>
    <row r="820">
      <c r="A820" s="25"/>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c r="AA820" s="25"/>
    </row>
    <row r="821">
      <c r="A821" s="25"/>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c r="AA821" s="25"/>
    </row>
    <row r="822">
      <c r="A822" s="25"/>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c r="AA822" s="25"/>
    </row>
    <row r="823">
      <c r="A823" s="25"/>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c r="AA823" s="25"/>
    </row>
    <row r="824">
      <c r="A824" s="25"/>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c r="AA824" s="25"/>
    </row>
    <row r="825">
      <c r="A825" s="25"/>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c r="AA825" s="25"/>
    </row>
    <row r="826">
      <c r="A826" s="25"/>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c r="AA826" s="25"/>
    </row>
    <row r="827">
      <c r="A827" s="25"/>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c r="AA827" s="25"/>
    </row>
    <row r="828">
      <c r="A828" s="25"/>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c r="AA828" s="25"/>
    </row>
    <row r="829">
      <c r="A829" s="25"/>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c r="AA829" s="25"/>
    </row>
    <row r="830">
      <c r="A830" s="25"/>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c r="AA830" s="25"/>
    </row>
    <row r="831">
      <c r="A831" s="25"/>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c r="AA831" s="25"/>
    </row>
    <row r="832">
      <c r="A832" s="25"/>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c r="AA832" s="25"/>
    </row>
    <row r="833">
      <c r="A833" s="25"/>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c r="AA833" s="25"/>
    </row>
    <row r="834">
      <c r="A834" s="25"/>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c r="AA834" s="25"/>
    </row>
    <row r="835">
      <c r="A835" s="25"/>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c r="AA835" s="25"/>
    </row>
    <row r="836">
      <c r="A836" s="25"/>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c r="AA836" s="25"/>
    </row>
    <row r="837">
      <c r="A837" s="25"/>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c r="AA837" s="25"/>
    </row>
    <row r="838">
      <c r="A838" s="25"/>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c r="AA838" s="25"/>
    </row>
    <row r="839">
      <c r="A839" s="25"/>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c r="AA839" s="25"/>
    </row>
    <row r="840">
      <c r="A840" s="25"/>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c r="AA840" s="25"/>
    </row>
    <row r="841">
      <c r="A841" s="25"/>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c r="AA841" s="25"/>
    </row>
    <row r="842">
      <c r="A842" s="25"/>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c r="AA842" s="25"/>
    </row>
    <row r="843">
      <c r="A843" s="25"/>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c r="AA843" s="25"/>
    </row>
    <row r="844">
      <c r="A844" s="25"/>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c r="AA844" s="25"/>
    </row>
    <row r="845">
      <c r="A845" s="25"/>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c r="AA845" s="25"/>
    </row>
    <row r="846">
      <c r="A846" s="25"/>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c r="AA846" s="25"/>
    </row>
    <row r="847">
      <c r="A847" s="25"/>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c r="AA847" s="25"/>
    </row>
    <row r="848">
      <c r="A848" s="25"/>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c r="AA848" s="25"/>
    </row>
    <row r="849">
      <c r="A849" s="25"/>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c r="AA849" s="25"/>
    </row>
    <row r="850">
      <c r="A850" s="25"/>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c r="AA850" s="25"/>
    </row>
    <row r="851">
      <c r="A851" s="25"/>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c r="AA851" s="25"/>
    </row>
    <row r="852">
      <c r="A852" s="25"/>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c r="AA852" s="25"/>
    </row>
    <row r="853">
      <c r="A853" s="25"/>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c r="AA853" s="25"/>
    </row>
    <row r="854">
      <c r="A854" s="25"/>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c r="AA854" s="25"/>
    </row>
    <row r="855">
      <c r="A855" s="25"/>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c r="AA855" s="25"/>
    </row>
    <row r="856">
      <c r="A856" s="25"/>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c r="AA856" s="25"/>
    </row>
    <row r="857">
      <c r="A857" s="25"/>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c r="AA857" s="25"/>
    </row>
    <row r="858">
      <c r="A858" s="25"/>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c r="AA858" s="25"/>
    </row>
    <row r="859">
      <c r="A859" s="25"/>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c r="AA859" s="25"/>
    </row>
    <row r="860">
      <c r="A860" s="25"/>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c r="AA860" s="25"/>
    </row>
    <row r="861">
      <c r="A861" s="25"/>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c r="AA861" s="25"/>
    </row>
    <row r="862">
      <c r="A862" s="25"/>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c r="AA862" s="25"/>
    </row>
    <row r="863">
      <c r="A863" s="25"/>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c r="AA863" s="25"/>
    </row>
    <row r="864">
      <c r="A864" s="25"/>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c r="AA864" s="25"/>
    </row>
    <row r="865">
      <c r="A865" s="25"/>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c r="AA865" s="25"/>
    </row>
    <row r="866">
      <c r="A866" s="25"/>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c r="AA866" s="25"/>
    </row>
    <row r="867">
      <c r="A867" s="25"/>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c r="AA867" s="25"/>
    </row>
    <row r="868">
      <c r="A868" s="25"/>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c r="AA868" s="25"/>
    </row>
    <row r="869">
      <c r="A869" s="25"/>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c r="AA869" s="25"/>
    </row>
    <row r="870">
      <c r="A870" s="25"/>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c r="AA870" s="25"/>
    </row>
    <row r="871">
      <c r="A871" s="25"/>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c r="AA871" s="25"/>
    </row>
    <row r="872">
      <c r="A872" s="25"/>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c r="AA872" s="25"/>
    </row>
    <row r="873">
      <c r="A873" s="25"/>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c r="AA873" s="25"/>
    </row>
    <row r="874">
      <c r="A874" s="25"/>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c r="AA874" s="25"/>
    </row>
    <row r="875">
      <c r="A875" s="25"/>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c r="AA875" s="25"/>
    </row>
    <row r="876">
      <c r="A876" s="25"/>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c r="AA876" s="25"/>
    </row>
    <row r="877">
      <c r="A877" s="25"/>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c r="AA877" s="25"/>
    </row>
    <row r="878">
      <c r="A878" s="25"/>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c r="AA878" s="25"/>
    </row>
    <row r="879">
      <c r="A879" s="25"/>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c r="AA879" s="25"/>
    </row>
    <row r="880">
      <c r="A880" s="25"/>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c r="AA880" s="25"/>
    </row>
    <row r="881">
      <c r="A881" s="25"/>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c r="AA881" s="25"/>
    </row>
    <row r="882">
      <c r="A882" s="25"/>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c r="AA882" s="25"/>
    </row>
    <row r="883">
      <c r="A883" s="25"/>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c r="AA883" s="25"/>
    </row>
    <row r="884">
      <c r="A884" s="25"/>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c r="AA884" s="25"/>
    </row>
    <row r="885">
      <c r="A885" s="25"/>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c r="AA885" s="25"/>
    </row>
    <row r="886">
      <c r="A886" s="25"/>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c r="AA886" s="25"/>
    </row>
    <row r="887">
      <c r="A887" s="25"/>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c r="AA887" s="25"/>
    </row>
    <row r="888">
      <c r="A888" s="25"/>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c r="AA888" s="25"/>
    </row>
    <row r="889">
      <c r="A889" s="25"/>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c r="AA889" s="25"/>
    </row>
    <row r="890">
      <c r="A890" s="25"/>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c r="AA890" s="25"/>
    </row>
    <row r="891">
      <c r="A891" s="25"/>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c r="AA891" s="25"/>
    </row>
    <row r="892">
      <c r="A892" s="25"/>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c r="AA892" s="25"/>
    </row>
    <row r="893">
      <c r="A893" s="25"/>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c r="AA893" s="25"/>
    </row>
    <row r="894">
      <c r="A894" s="25"/>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c r="AA894" s="25"/>
    </row>
    <row r="895">
      <c r="A895" s="25"/>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c r="AA895" s="25"/>
    </row>
    <row r="896">
      <c r="A896" s="25"/>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c r="AA896" s="25"/>
    </row>
    <row r="897">
      <c r="A897" s="25"/>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c r="AA897" s="25"/>
    </row>
    <row r="898">
      <c r="A898" s="25"/>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c r="AA898" s="25"/>
    </row>
    <row r="899">
      <c r="A899" s="25"/>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c r="AA899" s="25"/>
    </row>
    <row r="900">
      <c r="A900" s="25"/>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c r="AA900" s="25"/>
    </row>
    <row r="901">
      <c r="A901" s="25"/>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c r="AA901" s="25"/>
    </row>
    <row r="902">
      <c r="A902" s="25"/>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c r="AA902" s="25"/>
    </row>
    <row r="903">
      <c r="A903" s="25"/>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c r="AA903" s="25"/>
    </row>
    <row r="904">
      <c r="A904" s="25"/>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c r="AA904" s="25"/>
    </row>
    <row r="905">
      <c r="A905" s="25"/>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c r="AA905" s="25"/>
    </row>
    <row r="906">
      <c r="A906" s="25"/>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c r="AA906" s="25"/>
    </row>
    <row r="907">
      <c r="A907" s="25"/>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c r="AA907" s="25"/>
    </row>
    <row r="908">
      <c r="A908" s="25"/>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c r="AA908" s="25"/>
    </row>
    <row r="909">
      <c r="A909" s="25"/>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c r="AA909" s="25"/>
    </row>
    <row r="910">
      <c r="A910" s="25"/>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c r="AA910" s="25"/>
    </row>
    <row r="911">
      <c r="A911" s="25"/>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c r="AA911" s="25"/>
    </row>
    <row r="912">
      <c r="A912" s="25"/>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c r="AA912" s="25"/>
    </row>
    <row r="913">
      <c r="A913" s="25"/>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c r="AA913" s="25"/>
    </row>
    <row r="914">
      <c r="A914" s="25"/>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c r="AA914" s="25"/>
    </row>
    <row r="915">
      <c r="A915" s="25"/>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c r="AA915" s="25"/>
    </row>
    <row r="916">
      <c r="A916" s="25"/>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c r="AA916" s="25"/>
    </row>
    <row r="917">
      <c r="A917" s="25"/>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c r="AA917" s="25"/>
    </row>
    <row r="918">
      <c r="A918" s="25"/>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c r="AA918" s="25"/>
    </row>
    <row r="919">
      <c r="A919" s="25"/>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c r="AA919" s="25"/>
    </row>
    <row r="920">
      <c r="A920" s="25"/>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c r="AA920" s="25"/>
    </row>
    <row r="921">
      <c r="A921" s="25"/>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c r="AA921" s="25"/>
    </row>
    <row r="922">
      <c r="A922" s="25"/>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c r="AA922" s="25"/>
    </row>
    <row r="923">
      <c r="A923" s="25"/>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c r="AA923" s="25"/>
    </row>
    <row r="924">
      <c r="A924" s="25"/>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c r="AA924" s="25"/>
    </row>
    <row r="925">
      <c r="A925" s="25"/>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c r="AA925" s="25"/>
    </row>
    <row r="926">
      <c r="A926" s="25"/>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c r="AA926" s="25"/>
    </row>
    <row r="927">
      <c r="A927" s="25"/>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c r="AA927" s="25"/>
    </row>
    <row r="928">
      <c r="A928" s="25"/>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c r="AA928" s="25"/>
    </row>
    <row r="929">
      <c r="A929" s="25"/>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c r="AA929" s="25"/>
    </row>
    <row r="930">
      <c r="A930" s="25"/>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c r="AA930" s="25"/>
    </row>
    <row r="931">
      <c r="A931" s="25"/>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c r="AA931" s="25"/>
    </row>
    <row r="932">
      <c r="A932" s="25"/>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c r="AA932" s="25"/>
    </row>
    <row r="933">
      <c r="A933" s="25"/>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c r="AA933" s="25"/>
    </row>
    <row r="934">
      <c r="A934" s="25"/>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c r="AA934" s="25"/>
    </row>
    <row r="935">
      <c r="A935" s="25"/>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c r="AA935" s="25"/>
    </row>
    <row r="936">
      <c r="A936" s="25"/>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c r="AA936" s="25"/>
    </row>
    <row r="937">
      <c r="A937" s="25"/>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c r="AA937" s="25"/>
    </row>
    <row r="938">
      <c r="A938" s="25"/>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c r="AA938" s="25"/>
    </row>
    <row r="939">
      <c r="A939" s="25"/>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c r="AA939" s="25"/>
    </row>
    <row r="940">
      <c r="A940" s="25"/>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c r="AA940" s="25"/>
    </row>
    <row r="941">
      <c r="A941" s="25"/>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c r="AA941" s="25"/>
    </row>
    <row r="942">
      <c r="A942" s="25"/>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c r="AA942" s="25"/>
    </row>
    <row r="943">
      <c r="A943" s="25"/>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c r="AA943" s="25"/>
    </row>
    <row r="944">
      <c r="A944" s="25"/>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c r="AA944" s="25"/>
    </row>
    <row r="945">
      <c r="A945" s="25"/>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c r="AA945" s="25"/>
    </row>
    <row r="946">
      <c r="A946" s="25"/>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c r="AA946" s="25"/>
    </row>
    <row r="947">
      <c r="A947" s="25"/>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c r="AA947" s="25"/>
    </row>
    <row r="948">
      <c r="A948" s="25"/>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c r="AA948" s="25"/>
    </row>
    <row r="949">
      <c r="A949" s="25"/>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c r="AA949" s="25"/>
    </row>
    <row r="950">
      <c r="A950" s="25"/>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c r="AA950" s="25"/>
    </row>
    <row r="951">
      <c r="A951" s="25"/>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c r="AA951" s="25"/>
    </row>
    <row r="952">
      <c r="A952" s="25"/>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c r="AA952" s="25"/>
    </row>
    <row r="953">
      <c r="A953" s="25"/>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c r="AA953" s="25"/>
    </row>
    <row r="954">
      <c r="A954" s="25"/>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c r="AA954" s="25"/>
    </row>
    <row r="955">
      <c r="A955" s="25"/>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c r="AA955" s="25"/>
    </row>
    <row r="956">
      <c r="A956" s="25"/>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c r="AA956" s="25"/>
    </row>
    <row r="957">
      <c r="A957" s="25"/>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c r="AA957" s="25"/>
    </row>
    <row r="958">
      <c r="A958" s="25"/>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c r="AA958" s="25"/>
    </row>
    <row r="959">
      <c r="A959" s="25"/>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c r="AA959" s="25"/>
    </row>
    <row r="960">
      <c r="A960" s="25"/>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c r="AA960" s="25"/>
    </row>
    <row r="961">
      <c r="A961" s="25"/>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c r="AA961" s="25"/>
    </row>
    <row r="962">
      <c r="A962" s="25"/>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c r="AA962" s="25"/>
    </row>
    <row r="963">
      <c r="A963" s="25"/>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c r="AA963" s="25"/>
    </row>
    <row r="964">
      <c r="A964" s="25"/>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c r="AA964" s="25"/>
    </row>
    <row r="965">
      <c r="A965" s="25"/>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c r="AA965" s="25"/>
    </row>
    <row r="966">
      <c r="A966" s="25"/>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c r="AA966" s="25"/>
    </row>
    <row r="967">
      <c r="A967" s="25"/>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c r="AA967" s="25"/>
    </row>
    <row r="968">
      <c r="A968" s="25"/>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c r="AA968" s="25"/>
    </row>
    <row r="969">
      <c r="A969" s="25"/>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c r="AA969" s="25"/>
    </row>
    <row r="970">
      <c r="A970" s="25"/>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c r="AA970" s="25"/>
    </row>
    <row r="971">
      <c r="A971" s="25"/>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c r="AA971" s="25"/>
    </row>
    <row r="972">
      <c r="A972" s="25"/>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c r="AA972" s="25"/>
    </row>
    <row r="973">
      <c r="A973" s="25"/>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c r="AA973" s="25"/>
    </row>
    <row r="974">
      <c r="A974" s="25"/>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c r="AA974" s="25"/>
    </row>
    <row r="975">
      <c r="A975" s="25"/>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c r="AA975" s="25"/>
    </row>
    <row r="976">
      <c r="A976" s="25"/>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c r="AA976" s="25"/>
    </row>
    <row r="977">
      <c r="A977" s="25"/>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c r="AA977" s="25"/>
    </row>
    <row r="978">
      <c r="A978" s="25"/>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c r="AA978" s="25"/>
    </row>
    <row r="979">
      <c r="A979" s="25"/>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c r="AA979" s="25"/>
    </row>
    <row r="980">
      <c r="A980" s="25"/>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c r="AA980" s="25"/>
    </row>
    <row r="981">
      <c r="A981" s="25"/>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c r="AA981" s="25"/>
    </row>
    <row r="982">
      <c r="A982" s="25"/>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c r="AA982" s="25"/>
    </row>
    <row r="983">
      <c r="A983" s="25"/>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c r="AA983" s="25"/>
    </row>
    <row r="984">
      <c r="A984" s="25"/>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c r="AA984" s="25"/>
    </row>
    <row r="985">
      <c r="A985" s="25"/>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c r="AA985" s="25"/>
    </row>
    <row r="986">
      <c r="A986" s="25"/>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c r="AA986" s="25"/>
    </row>
    <row r="987">
      <c r="A987" s="25"/>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c r="AA987" s="25"/>
    </row>
    <row r="988">
      <c r="A988" s="25"/>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c r="AA988" s="25"/>
    </row>
    <row r="989">
      <c r="A989" s="25"/>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c r="AA989" s="25"/>
    </row>
    <row r="990">
      <c r="A990" s="25"/>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c r="AA990" s="25"/>
    </row>
    <row r="991">
      <c r="A991" s="25"/>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c r="AA991" s="25"/>
    </row>
    <row r="992">
      <c r="A992" s="25"/>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c r="AA992" s="25"/>
    </row>
    <row r="993">
      <c r="A993" s="25"/>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c r="AA993" s="25"/>
    </row>
    <row r="994">
      <c r="A994" s="25"/>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c r="AA994" s="25"/>
    </row>
    <row r="995">
      <c r="A995" s="25"/>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c r="AA995" s="25"/>
    </row>
    <row r="996">
      <c r="A996" s="25"/>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c r="AA996" s="25"/>
    </row>
    <row r="997">
      <c r="A997" s="25"/>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c r="AA997" s="25"/>
    </row>
    <row r="998">
      <c r="A998" s="25"/>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c r="AA998" s="25"/>
    </row>
    <row r="999">
      <c r="A999" s="25"/>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c r="AA999" s="25"/>
    </row>
    <row r="1000">
      <c r="A1000" s="25"/>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c r="AA1000" s="25"/>
    </row>
    <row r="1001">
      <c r="A1001" s="25"/>
      <c r="B1001" s="25"/>
      <c r="C1001" s="25"/>
      <c r="D1001" s="25"/>
      <c r="E1001" s="25"/>
      <c r="F1001" s="25"/>
      <c r="G1001" s="25"/>
      <c r="H1001" s="25"/>
      <c r="I1001" s="25"/>
      <c r="J1001" s="25"/>
      <c r="K1001" s="25"/>
      <c r="L1001" s="25"/>
      <c r="M1001" s="25"/>
      <c r="N1001" s="25"/>
      <c r="O1001" s="25"/>
      <c r="P1001" s="25"/>
      <c r="Q1001" s="25"/>
      <c r="R1001" s="25"/>
      <c r="S1001" s="25"/>
      <c r="T1001" s="25"/>
      <c r="U1001" s="25"/>
      <c r="V1001" s="25"/>
      <c r="W1001" s="25"/>
      <c r="X1001" s="25"/>
      <c r="Y1001" s="25"/>
      <c r="Z1001" s="25"/>
      <c r="AA1001" s="25"/>
    </row>
    <row r="1002">
      <c r="A1002" s="25"/>
      <c r="B1002" s="25"/>
      <c r="C1002" s="25"/>
      <c r="D1002" s="25"/>
      <c r="E1002" s="25"/>
      <c r="F1002" s="25"/>
      <c r="G1002" s="25"/>
      <c r="H1002" s="25"/>
      <c r="I1002" s="25"/>
      <c r="J1002" s="25"/>
      <c r="K1002" s="25"/>
      <c r="L1002" s="25"/>
      <c r="M1002" s="25"/>
      <c r="N1002" s="25"/>
      <c r="O1002" s="25"/>
      <c r="P1002" s="25"/>
      <c r="Q1002" s="25"/>
      <c r="R1002" s="25"/>
      <c r="S1002" s="25"/>
      <c r="T1002" s="25"/>
      <c r="U1002" s="25"/>
      <c r="V1002" s="25"/>
      <c r="W1002" s="25"/>
      <c r="X1002" s="25"/>
      <c r="Y1002" s="25"/>
      <c r="Z1002" s="25"/>
      <c r="AA1002" s="25"/>
    </row>
    <row r="1003">
      <c r="A1003" s="25"/>
      <c r="B1003" s="25"/>
      <c r="C1003" s="25"/>
      <c r="D1003" s="25"/>
      <c r="E1003" s="25"/>
      <c r="F1003" s="25"/>
      <c r="G1003" s="25"/>
      <c r="H1003" s="25"/>
      <c r="I1003" s="25"/>
      <c r="J1003" s="25"/>
      <c r="K1003" s="25"/>
      <c r="L1003" s="25"/>
      <c r="M1003" s="25"/>
      <c r="N1003" s="25"/>
      <c r="O1003" s="25"/>
      <c r="P1003" s="25"/>
      <c r="Q1003" s="25"/>
      <c r="R1003" s="25"/>
      <c r="S1003" s="25"/>
      <c r="T1003" s="25"/>
      <c r="U1003" s="25"/>
      <c r="V1003" s="25"/>
      <c r="W1003" s="25"/>
      <c r="X1003" s="25"/>
      <c r="Y1003" s="25"/>
      <c r="Z1003" s="25"/>
      <c r="AA1003" s="25"/>
    </row>
    <row r="1004">
      <c r="A1004" s="25"/>
      <c r="B1004" s="25"/>
      <c r="C1004" s="25"/>
      <c r="D1004" s="25"/>
      <c r="E1004" s="25"/>
      <c r="F1004" s="25"/>
      <c r="G1004" s="25"/>
      <c r="H1004" s="25"/>
      <c r="I1004" s="25"/>
      <c r="J1004" s="25"/>
      <c r="K1004" s="25"/>
      <c r="L1004" s="25"/>
      <c r="M1004" s="25"/>
      <c r="N1004" s="25"/>
      <c r="O1004" s="25"/>
      <c r="P1004" s="25"/>
      <c r="Q1004" s="25"/>
      <c r="R1004" s="25"/>
      <c r="S1004" s="25"/>
      <c r="T1004" s="25"/>
      <c r="U1004" s="25"/>
      <c r="V1004" s="25"/>
      <c r="W1004" s="25"/>
      <c r="X1004" s="25"/>
      <c r="Y1004" s="25"/>
      <c r="Z1004" s="25"/>
      <c r="AA1004" s="25"/>
    </row>
    <row r="1005">
      <c r="A1005" s="25"/>
      <c r="B1005" s="25"/>
      <c r="C1005" s="25"/>
      <c r="D1005" s="25"/>
      <c r="E1005" s="25"/>
      <c r="F1005" s="25"/>
      <c r="G1005" s="25"/>
      <c r="H1005" s="25"/>
      <c r="I1005" s="25"/>
      <c r="J1005" s="25"/>
      <c r="K1005" s="25"/>
      <c r="L1005" s="25"/>
      <c r="M1005" s="25"/>
      <c r="N1005" s="25"/>
      <c r="O1005" s="25"/>
      <c r="P1005" s="25"/>
      <c r="Q1005" s="25"/>
      <c r="R1005" s="25"/>
      <c r="S1005" s="25"/>
      <c r="T1005" s="25"/>
      <c r="U1005" s="25"/>
      <c r="V1005" s="25"/>
      <c r="W1005" s="25"/>
      <c r="X1005" s="25"/>
      <c r="Y1005" s="25"/>
      <c r="Z1005" s="25"/>
      <c r="AA1005" s="25"/>
    </row>
    <row r="1006">
      <c r="A1006" s="25"/>
      <c r="B1006" s="25"/>
      <c r="C1006" s="25"/>
      <c r="D1006" s="25"/>
      <c r="E1006" s="25"/>
      <c r="F1006" s="25"/>
      <c r="G1006" s="25"/>
      <c r="H1006" s="25"/>
      <c r="I1006" s="25"/>
      <c r="J1006" s="25"/>
      <c r="K1006" s="25"/>
      <c r="L1006" s="25"/>
      <c r="M1006" s="25"/>
      <c r="N1006" s="25"/>
      <c r="O1006" s="25"/>
      <c r="P1006" s="25"/>
      <c r="Q1006" s="25"/>
      <c r="R1006" s="25"/>
      <c r="S1006" s="25"/>
      <c r="T1006" s="25"/>
      <c r="U1006" s="25"/>
      <c r="V1006" s="25"/>
      <c r="W1006" s="25"/>
      <c r="X1006" s="25"/>
      <c r="Y1006" s="25"/>
      <c r="Z1006" s="25"/>
      <c r="AA1006" s="25"/>
    </row>
    <row r="1007">
      <c r="A1007" s="25"/>
      <c r="B1007" s="25"/>
      <c r="C1007" s="25"/>
      <c r="D1007" s="25"/>
      <c r="E1007" s="25"/>
      <c r="F1007" s="25"/>
      <c r="G1007" s="25"/>
      <c r="H1007" s="25"/>
      <c r="I1007" s="25"/>
      <c r="J1007" s="25"/>
      <c r="K1007" s="25"/>
      <c r="L1007" s="25"/>
      <c r="M1007" s="25"/>
      <c r="N1007" s="25"/>
      <c r="O1007" s="25"/>
      <c r="P1007" s="25"/>
      <c r="Q1007" s="25"/>
      <c r="R1007" s="25"/>
      <c r="S1007" s="25"/>
      <c r="T1007" s="25"/>
      <c r="U1007" s="25"/>
      <c r="V1007" s="25"/>
      <c r="W1007" s="25"/>
      <c r="X1007" s="25"/>
      <c r="Y1007" s="25"/>
      <c r="Z1007" s="25"/>
      <c r="AA1007" s="25"/>
    </row>
    <row r="1008">
      <c r="A1008" s="25"/>
      <c r="B1008" s="25"/>
      <c r="C1008" s="25"/>
      <c r="D1008" s="25"/>
      <c r="E1008" s="25"/>
      <c r="F1008" s="25"/>
      <c r="G1008" s="25"/>
      <c r="H1008" s="25"/>
      <c r="I1008" s="25"/>
      <c r="J1008" s="25"/>
      <c r="K1008" s="25"/>
      <c r="L1008" s="25"/>
      <c r="M1008" s="25"/>
      <c r="N1008" s="25"/>
      <c r="O1008" s="25"/>
      <c r="P1008" s="25"/>
      <c r="Q1008" s="25"/>
      <c r="R1008" s="25"/>
      <c r="S1008" s="25"/>
      <c r="T1008" s="25"/>
      <c r="U1008" s="25"/>
      <c r="V1008" s="25"/>
      <c r="W1008" s="25"/>
      <c r="X1008" s="25"/>
      <c r="Y1008" s="25"/>
      <c r="Z1008" s="25"/>
      <c r="AA1008" s="25"/>
    </row>
    <row r="1009">
      <c r="A1009" s="25"/>
      <c r="B1009" s="25"/>
      <c r="C1009" s="25"/>
      <c r="D1009" s="25"/>
      <c r="E1009" s="25"/>
      <c r="F1009" s="25"/>
      <c r="G1009" s="25"/>
      <c r="H1009" s="25"/>
      <c r="I1009" s="25"/>
      <c r="J1009" s="25"/>
      <c r="K1009" s="25"/>
      <c r="L1009" s="25"/>
      <c r="M1009" s="25"/>
      <c r="N1009" s="25"/>
      <c r="O1009" s="25"/>
      <c r="P1009" s="25"/>
      <c r="Q1009" s="25"/>
      <c r="R1009" s="25"/>
      <c r="S1009" s="25"/>
      <c r="T1009" s="25"/>
      <c r="U1009" s="25"/>
      <c r="V1009" s="25"/>
      <c r="W1009" s="25"/>
      <c r="X1009" s="25"/>
      <c r="Y1009" s="25"/>
      <c r="Z1009" s="25"/>
      <c r="AA1009" s="25"/>
    </row>
    <row r="1010">
      <c r="A1010" s="25"/>
      <c r="B1010" s="25"/>
      <c r="C1010" s="25"/>
      <c r="D1010" s="25"/>
      <c r="E1010" s="25"/>
      <c r="F1010" s="25"/>
      <c r="G1010" s="25"/>
      <c r="H1010" s="25"/>
      <c r="I1010" s="25"/>
      <c r="J1010" s="25"/>
      <c r="K1010" s="25"/>
      <c r="L1010" s="25"/>
      <c r="M1010" s="25"/>
      <c r="N1010" s="25"/>
      <c r="O1010" s="25"/>
      <c r="P1010" s="25"/>
      <c r="Q1010" s="25"/>
      <c r="R1010" s="25"/>
      <c r="S1010" s="25"/>
      <c r="T1010" s="25"/>
      <c r="U1010" s="25"/>
      <c r="V1010" s="25"/>
      <c r="W1010" s="25"/>
      <c r="X1010" s="25"/>
      <c r="Y1010" s="25"/>
      <c r="Z1010" s="25"/>
      <c r="AA1010" s="25"/>
    </row>
    <row r="1011">
      <c r="A1011" s="25"/>
      <c r="B1011" s="25"/>
      <c r="C1011" s="25"/>
      <c r="D1011" s="25"/>
      <c r="E1011" s="25"/>
      <c r="F1011" s="25"/>
      <c r="G1011" s="25"/>
      <c r="H1011" s="25"/>
      <c r="I1011" s="25"/>
      <c r="J1011" s="25"/>
      <c r="K1011" s="25"/>
      <c r="L1011" s="25"/>
      <c r="M1011" s="25"/>
      <c r="N1011" s="25"/>
      <c r="O1011" s="25"/>
      <c r="P1011" s="25"/>
      <c r="Q1011" s="25"/>
      <c r="R1011" s="25"/>
      <c r="S1011" s="25"/>
      <c r="T1011" s="25"/>
      <c r="U1011" s="25"/>
      <c r="V1011" s="25"/>
      <c r="W1011" s="25"/>
      <c r="X1011" s="25"/>
      <c r="Y1011" s="25"/>
      <c r="Z1011" s="25"/>
      <c r="AA1011" s="25"/>
    </row>
    <row r="1012">
      <c r="A1012" s="25"/>
      <c r="B1012" s="25"/>
      <c r="C1012" s="25"/>
      <c r="D1012" s="25"/>
      <c r="E1012" s="25"/>
      <c r="F1012" s="25"/>
      <c r="G1012" s="25"/>
      <c r="H1012" s="25"/>
      <c r="I1012" s="25"/>
      <c r="J1012" s="25"/>
      <c r="K1012" s="25"/>
      <c r="L1012" s="25"/>
      <c r="M1012" s="25"/>
      <c r="N1012" s="25"/>
      <c r="O1012" s="25"/>
      <c r="P1012" s="25"/>
      <c r="Q1012" s="25"/>
      <c r="R1012" s="25"/>
      <c r="S1012" s="25"/>
      <c r="T1012" s="25"/>
      <c r="U1012" s="25"/>
      <c r="V1012" s="25"/>
      <c r="W1012" s="25"/>
      <c r="X1012" s="25"/>
      <c r="Y1012" s="25"/>
      <c r="Z1012" s="25"/>
      <c r="AA1012" s="25"/>
    </row>
    <row r="1013">
      <c r="A1013" s="25"/>
      <c r="B1013" s="25"/>
      <c r="C1013" s="25"/>
      <c r="D1013" s="25"/>
      <c r="E1013" s="25"/>
      <c r="F1013" s="25"/>
      <c r="G1013" s="25"/>
      <c r="H1013" s="25"/>
      <c r="I1013" s="25"/>
      <c r="J1013" s="25"/>
      <c r="K1013" s="25"/>
      <c r="L1013" s="25"/>
      <c r="M1013" s="25"/>
      <c r="N1013" s="25"/>
      <c r="O1013" s="25"/>
      <c r="P1013" s="25"/>
      <c r="Q1013" s="25"/>
      <c r="R1013" s="25"/>
      <c r="S1013" s="25"/>
      <c r="T1013" s="25"/>
      <c r="U1013" s="25"/>
      <c r="V1013" s="25"/>
      <c r="W1013" s="25"/>
      <c r="X1013" s="25"/>
      <c r="Y1013" s="25"/>
      <c r="Z1013" s="25"/>
      <c r="AA1013" s="25"/>
    </row>
    <row r="1014">
      <c r="A1014" s="25"/>
      <c r="B1014" s="25"/>
      <c r="C1014" s="25"/>
      <c r="D1014" s="25"/>
      <c r="E1014" s="25"/>
      <c r="F1014" s="25"/>
      <c r="G1014" s="25"/>
      <c r="H1014" s="25"/>
      <c r="I1014" s="25"/>
      <c r="J1014" s="25"/>
      <c r="K1014" s="25"/>
      <c r="L1014" s="25"/>
      <c r="M1014" s="25"/>
      <c r="N1014" s="25"/>
      <c r="O1014" s="25"/>
      <c r="P1014" s="25"/>
      <c r="Q1014" s="25"/>
      <c r="R1014" s="25"/>
      <c r="S1014" s="25"/>
      <c r="T1014" s="25"/>
      <c r="U1014" s="25"/>
      <c r="V1014" s="25"/>
      <c r="W1014" s="25"/>
      <c r="X1014" s="25"/>
      <c r="Y1014" s="25"/>
      <c r="Z1014" s="25"/>
      <c r="AA1014" s="25"/>
    </row>
    <row r="1015">
      <c r="A1015" s="25"/>
      <c r="B1015" s="25"/>
      <c r="C1015" s="25"/>
      <c r="D1015" s="25"/>
      <c r="E1015" s="25"/>
      <c r="F1015" s="25"/>
      <c r="G1015" s="25"/>
      <c r="H1015" s="25"/>
      <c r="I1015" s="25"/>
      <c r="J1015" s="25"/>
      <c r="K1015" s="25"/>
      <c r="L1015" s="25"/>
      <c r="M1015" s="25"/>
      <c r="N1015" s="25"/>
      <c r="O1015" s="25"/>
      <c r="P1015" s="25"/>
      <c r="Q1015" s="25"/>
      <c r="R1015" s="25"/>
      <c r="S1015" s="25"/>
      <c r="T1015" s="25"/>
      <c r="U1015" s="25"/>
      <c r="V1015" s="25"/>
      <c r="W1015" s="25"/>
      <c r="X1015" s="25"/>
      <c r="Y1015" s="25"/>
      <c r="Z1015" s="25"/>
      <c r="AA1015" s="25"/>
    </row>
    <row r="1016">
      <c r="A1016" s="25"/>
      <c r="B1016" s="25"/>
      <c r="C1016" s="25"/>
      <c r="D1016" s="25"/>
      <c r="E1016" s="25"/>
      <c r="F1016" s="25"/>
      <c r="G1016" s="25"/>
      <c r="H1016" s="25"/>
      <c r="I1016" s="25"/>
      <c r="J1016" s="25"/>
      <c r="K1016" s="25"/>
      <c r="L1016" s="25"/>
      <c r="M1016" s="25"/>
      <c r="N1016" s="25"/>
      <c r="O1016" s="25"/>
      <c r="P1016" s="25"/>
      <c r="Q1016" s="25"/>
      <c r="R1016" s="25"/>
      <c r="S1016" s="25"/>
      <c r="T1016" s="25"/>
      <c r="U1016" s="25"/>
      <c r="V1016" s="25"/>
      <c r="W1016" s="25"/>
      <c r="X1016" s="25"/>
      <c r="Y1016" s="25"/>
      <c r="Z1016" s="25"/>
      <c r="AA1016" s="25"/>
    </row>
    <row r="1017">
      <c r="A1017" s="25"/>
      <c r="B1017" s="25"/>
      <c r="C1017" s="25"/>
      <c r="D1017" s="25"/>
      <c r="E1017" s="25"/>
      <c r="F1017" s="25"/>
      <c r="G1017" s="25"/>
      <c r="H1017" s="25"/>
      <c r="I1017" s="25"/>
      <c r="J1017" s="25"/>
      <c r="K1017" s="25"/>
      <c r="L1017" s="25"/>
      <c r="M1017" s="25"/>
      <c r="N1017" s="25"/>
      <c r="O1017" s="25"/>
      <c r="P1017" s="25"/>
      <c r="Q1017" s="25"/>
      <c r="R1017" s="25"/>
      <c r="S1017" s="25"/>
      <c r="T1017" s="25"/>
      <c r="U1017" s="25"/>
      <c r="V1017" s="25"/>
      <c r="W1017" s="25"/>
      <c r="X1017" s="25"/>
      <c r="Y1017" s="25"/>
      <c r="Z1017" s="25"/>
      <c r="AA1017" s="25"/>
    </row>
    <row r="1018">
      <c r="A1018" s="25"/>
      <c r="B1018" s="25"/>
      <c r="C1018" s="25"/>
      <c r="D1018" s="25"/>
      <c r="E1018" s="25"/>
      <c r="F1018" s="25"/>
      <c r="G1018" s="25"/>
      <c r="H1018" s="25"/>
      <c r="I1018" s="25"/>
      <c r="J1018" s="25"/>
      <c r="K1018" s="25"/>
      <c r="L1018" s="25"/>
      <c r="M1018" s="25"/>
      <c r="N1018" s="25"/>
      <c r="O1018" s="25"/>
      <c r="P1018" s="25"/>
      <c r="Q1018" s="25"/>
      <c r="R1018" s="25"/>
      <c r="S1018" s="25"/>
      <c r="T1018" s="25"/>
      <c r="U1018" s="25"/>
      <c r="V1018" s="25"/>
      <c r="W1018" s="25"/>
      <c r="X1018" s="25"/>
      <c r="Y1018" s="25"/>
      <c r="Z1018" s="25"/>
      <c r="AA1018" s="25"/>
    </row>
    <row r="1019">
      <c r="A1019" s="25"/>
      <c r="B1019" s="25"/>
      <c r="C1019" s="25"/>
      <c r="D1019" s="25"/>
      <c r="E1019" s="25"/>
      <c r="F1019" s="25"/>
      <c r="G1019" s="25"/>
      <c r="H1019" s="25"/>
      <c r="I1019" s="25"/>
      <c r="J1019" s="25"/>
      <c r="K1019" s="25"/>
      <c r="L1019" s="25"/>
      <c r="M1019" s="25"/>
      <c r="N1019" s="25"/>
      <c r="O1019" s="25"/>
      <c r="P1019" s="25"/>
      <c r="Q1019" s="25"/>
      <c r="R1019" s="25"/>
      <c r="S1019" s="25"/>
      <c r="T1019" s="25"/>
      <c r="U1019" s="25"/>
      <c r="V1019" s="25"/>
      <c r="W1019" s="25"/>
      <c r="X1019" s="25"/>
      <c r="Y1019" s="25"/>
      <c r="Z1019" s="25"/>
      <c r="AA1019" s="25"/>
    </row>
    <row r="1020">
      <c r="A1020" s="25"/>
      <c r="B1020" s="25"/>
      <c r="C1020" s="25"/>
      <c r="D1020" s="25"/>
      <c r="E1020" s="25"/>
      <c r="F1020" s="25"/>
      <c r="G1020" s="25"/>
      <c r="H1020" s="25"/>
      <c r="I1020" s="25"/>
      <c r="J1020" s="25"/>
      <c r="K1020" s="25"/>
      <c r="L1020" s="25"/>
      <c r="M1020" s="25"/>
      <c r="N1020" s="25"/>
      <c r="O1020" s="25"/>
      <c r="P1020" s="25"/>
      <c r="Q1020" s="25"/>
      <c r="R1020" s="25"/>
      <c r="S1020" s="25"/>
      <c r="T1020" s="25"/>
      <c r="U1020" s="25"/>
      <c r="V1020" s="25"/>
      <c r="W1020" s="25"/>
      <c r="X1020" s="25"/>
      <c r="Y1020" s="25"/>
      <c r="Z1020" s="25"/>
      <c r="AA1020" s="25"/>
    </row>
    <row r="1021">
      <c r="A1021" s="25"/>
      <c r="B1021" s="25"/>
      <c r="C1021" s="25"/>
      <c r="D1021" s="25"/>
      <c r="E1021" s="25"/>
      <c r="F1021" s="25"/>
      <c r="G1021" s="25"/>
      <c r="H1021" s="25"/>
      <c r="I1021" s="25"/>
      <c r="J1021" s="25"/>
      <c r="K1021" s="25"/>
      <c r="L1021" s="25"/>
      <c r="M1021" s="25"/>
      <c r="N1021" s="25"/>
      <c r="O1021" s="25"/>
      <c r="P1021" s="25"/>
      <c r="Q1021" s="25"/>
      <c r="R1021" s="25"/>
      <c r="S1021" s="25"/>
      <c r="T1021" s="25"/>
      <c r="U1021" s="25"/>
      <c r="V1021" s="25"/>
      <c r="W1021" s="25"/>
      <c r="X1021" s="25"/>
      <c r="Y1021" s="25"/>
      <c r="Z1021" s="25"/>
      <c r="AA1021" s="25"/>
    </row>
    <row r="1022">
      <c r="A1022" s="25"/>
      <c r="B1022" s="25"/>
      <c r="C1022" s="25"/>
      <c r="D1022" s="25"/>
      <c r="E1022" s="25"/>
      <c r="F1022" s="25"/>
      <c r="G1022" s="25"/>
      <c r="H1022" s="25"/>
      <c r="I1022" s="25"/>
      <c r="J1022" s="25"/>
      <c r="K1022" s="25"/>
      <c r="L1022" s="25"/>
      <c r="M1022" s="25"/>
      <c r="N1022" s="25"/>
      <c r="O1022" s="25"/>
      <c r="P1022" s="25"/>
      <c r="Q1022" s="25"/>
      <c r="R1022" s="25"/>
      <c r="S1022" s="25"/>
      <c r="T1022" s="25"/>
      <c r="U1022" s="25"/>
      <c r="V1022" s="25"/>
      <c r="W1022" s="25"/>
      <c r="X1022" s="25"/>
      <c r="Y1022" s="25"/>
      <c r="Z1022" s="25"/>
      <c r="AA1022" s="25"/>
    </row>
    <row r="1023">
      <c r="A1023" s="25"/>
      <c r="B1023" s="25"/>
      <c r="C1023" s="25"/>
      <c r="D1023" s="25"/>
      <c r="E1023" s="25"/>
      <c r="F1023" s="25"/>
      <c r="G1023" s="25"/>
      <c r="H1023" s="25"/>
      <c r="I1023" s="25"/>
      <c r="J1023" s="25"/>
      <c r="K1023" s="25"/>
      <c r="L1023" s="25"/>
      <c r="M1023" s="25"/>
      <c r="N1023" s="25"/>
      <c r="O1023" s="25"/>
      <c r="P1023" s="25"/>
      <c r="Q1023" s="25"/>
      <c r="R1023" s="25"/>
      <c r="S1023" s="25"/>
      <c r="T1023" s="25"/>
      <c r="U1023" s="25"/>
      <c r="V1023" s="25"/>
      <c r="W1023" s="25"/>
      <c r="X1023" s="25"/>
      <c r="Y1023" s="25"/>
      <c r="Z1023" s="25"/>
      <c r="AA1023" s="25"/>
    </row>
    <row r="1024">
      <c r="A1024" s="25"/>
      <c r="B1024" s="25"/>
      <c r="C1024" s="25"/>
      <c r="D1024" s="25"/>
      <c r="E1024" s="25"/>
      <c r="F1024" s="25"/>
      <c r="G1024" s="25"/>
      <c r="H1024" s="25"/>
      <c r="I1024" s="25"/>
      <c r="J1024" s="25"/>
      <c r="K1024" s="25"/>
      <c r="L1024" s="25"/>
      <c r="M1024" s="25"/>
      <c r="N1024" s="25"/>
      <c r="O1024" s="25"/>
      <c r="P1024" s="25"/>
      <c r="Q1024" s="25"/>
      <c r="R1024" s="25"/>
      <c r="S1024" s="25"/>
      <c r="T1024" s="25"/>
      <c r="U1024" s="25"/>
      <c r="V1024" s="25"/>
      <c r="W1024" s="25"/>
      <c r="X1024" s="25"/>
      <c r="Y1024" s="25"/>
      <c r="Z1024" s="25"/>
      <c r="AA1024" s="25"/>
    </row>
    <row r="1025">
      <c r="A1025" s="25"/>
      <c r="B1025" s="25"/>
      <c r="C1025" s="25"/>
      <c r="D1025" s="25"/>
      <c r="E1025" s="25"/>
      <c r="F1025" s="25"/>
      <c r="G1025" s="25"/>
      <c r="H1025" s="25"/>
      <c r="I1025" s="25"/>
      <c r="J1025" s="25"/>
      <c r="K1025" s="25"/>
      <c r="L1025" s="25"/>
      <c r="M1025" s="25"/>
      <c r="N1025" s="25"/>
      <c r="O1025" s="25"/>
      <c r="P1025" s="25"/>
      <c r="Q1025" s="25"/>
      <c r="R1025" s="25"/>
      <c r="S1025" s="25"/>
      <c r="T1025" s="25"/>
      <c r="U1025" s="25"/>
      <c r="V1025" s="25"/>
      <c r="W1025" s="25"/>
      <c r="X1025" s="25"/>
      <c r="Y1025" s="25"/>
      <c r="Z1025" s="25"/>
      <c r="AA1025" s="25"/>
    </row>
    <row r="1026">
      <c r="A1026" s="25"/>
      <c r="B1026" s="25"/>
      <c r="C1026" s="25"/>
      <c r="D1026" s="25"/>
      <c r="E1026" s="25"/>
      <c r="F1026" s="25"/>
      <c r="G1026" s="25"/>
      <c r="H1026" s="25"/>
      <c r="I1026" s="25"/>
      <c r="J1026" s="25"/>
      <c r="K1026" s="25"/>
      <c r="L1026" s="25"/>
      <c r="M1026" s="25"/>
      <c r="N1026" s="25"/>
      <c r="O1026" s="25"/>
      <c r="P1026" s="25"/>
      <c r="Q1026" s="25"/>
      <c r="R1026" s="25"/>
      <c r="S1026" s="25"/>
      <c r="T1026" s="25"/>
      <c r="U1026" s="25"/>
      <c r="V1026" s="25"/>
      <c r="W1026" s="25"/>
      <c r="X1026" s="25"/>
      <c r="Y1026" s="25"/>
      <c r="Z1026" s="25"/>
      <c r="AA1026" s="25"/>
    </row>
    <row r="1027">
      <c r="A1027" s="25"/>
      <c r="B1027" s="25"/>
      <c r="C1027" s="25"/>
      <c r="D1027" s="25"/>
      <c r="E1027" s="25"/>
      <c r="F1027" s="25"/>
      <c r="G1027" s="25"/>
      <c r="H1027" s="25"/>
      <c r="I1027" s="25"/>
      <c r="J1027" s="25"/>
      <c r="K1027" s="25"/>
      <c r="L1027" s="25"/>
      <c r="M1027" s="25"/>
      <c r="N1027" s="25"/>
      <c r="O1027" s="25"/>
      <c r="P1027" s="25"/>
      <c r="Q1027" s="25"/>
      <c r="R1027" s="25"/>
      <c r="S1027" s="25"/>
      <c r="T1027" s="25"/>
      <c r="U1027" s="25"/>
      <c r="V1027" s="25"/>
      <c r="W1027" s="25"/>
      <c r="X1027" s="25"/>
      <c r="Y1027" s="25"/>
      <c r="Z1027" s="25"/>
      <c r="AA1027" s="25"/>
    </row>
    <row r="1028">
      <c r="A1028" s="25"/>
      <c r="B1028" s="25"/>
      <c r="C1028" s="25"/>
      <c r="D1028" s="25"/>
      <c r="E1028" s="25"/>
      <c r="F1028" s="25"/>
      <c r="G1028" s="25"/>
      <c r="H1028" s="25"/>
      <c r="I1028" s="25"/>
      <c r="J1028" s="25"/>
      <c r="K1028" s="25"/>
      <c r="L1028" s="25"/>
      <c r="M1028" s="25"/>
      <c r="N1028" s="25"/>
      <c r="O1028" s="25"/>
      <c r="P1028" s="25"/>
      <c r="Q1028" s="25"/>
      <c r="R1028" s="25"/>
      <c r="S1028" s="25"/>
      <c r="T1028" s="25"/>
      <c r="U1028" s="25"/>
      <c r="V1028" s="25"/>
      <c r="W1028" s="25"/>
      <c r="X1028" s="25"/>
      <c r="Y1028" s="25"/>
      <c r="Z1028" s="25"/>
      <c r="AA1028" s="25"/>
    </row>
    <row r="1029">
      <c r="A1029" s="25"/>
      <c r="B1029" s="25"/>
      <c r="C1029" s="25"/>
      <c r="D1029" s="25"/>
      <c r="E1029" s="25"/>
      <c r="F1029" s="25"/>
      <c r="G1029" s="25"/>
      <c r="H1029" s="25"/>
      <c r="I1029" s="25"/>
      <c r="J1029" s="25"/>
      <c r="K1029" s="25"/>
      <c r="L1029" s="25"/>
      <c r="M1029" s="25"/>
      <c r="N1029" s="25"/>
      <c r="O1029" s="25"/>
      <c r="P1029" s="25"/>
      <c r="Q1029" s="25"/>
      <c r="R1029" s="25"/>
      <c r="S1029" s="25"/>
      <c r="T1029" s="25"/>
      <c r="U1029" s="25"/>
      <c r="V1029" s="25"/>
      <c r="W1029" s="25"/>
      <c r="X1029" s="25"/>
      <c r="Y1029" s="25"/>
      <c r="Z1029" s="25"/>
      <c r="AA1029" s="25"/>
    </row>
    <row r="1030">
      <c r="A1030" s="25"/>
      <c r="B1030" s="25"/>
      <c r="C1030" s="25"/>
      <c r="D1030" s="25"/>
      <c r="E1030" s="25"/>
      <c r="F1030" s="25"/>
      <c r="G1030" s="25"/>
      <c r="H1030" s="25"/>
      <c r="I1030" s="25"/>
      <c r="J1030" s="25"/>
      <c r="K1030" s="25"/>
      <c r="L1030" s="25"/>
      <c r="M1030" s="25"/>
      <c r="N1030" s="25"/>
      <c r="O1030" s="25"/>
      <c r="P1030" s="25"/>
      <c r="Q1030" s="25"/>
      <c r="R1030" s="25"/>
      <c r="S1030" s="25"/>
      <c r="T1030" s="25"/>
      <c r="U1030" s="25"/>
      <c r="V1030" s="25"/>
      <c r="W1030" s="25"/>
      <c r="X1030" s="25"/>
      <c r="Y1030" s="25"/>
      <c r="Z1030" s="25"/>
      <c r="AA1030" s="25"/>
    </row>
    <row r="1031">
      <c r="A1031" s="25"/>
      <c r="B1031" s="25"/>
      <c r="C1031" s="25"/>
      <c r="D1031" s="25"/>
      <c r="E1031" s="25"/>
      <c r="F1031" s="25"/>
      <c r="G1031" s="25"/>
      <c r="H1031" s="25"/>
      <c r="I1031" s="25"/>
      <c r="J1031" s="25"/>
      <c r="K1031" s="25"/>
      <c r="L1031" s="25"/>
      <c r="M1031" s="25"/>
      <c r="N1031" s="25"/>
      <c r="O1031" s="25"/>
      <c r="P1031" s="25"/>
      <c r="Q1031" s="25"/>
      <c r="R1031" s="25"/>
      <c r="S1031" s="25"/>
      <c r="T1031" s="25"/>
      <c r="U1031" s="25"/>
      <c r="V1031" s="25"/>
      <c r="W1031" s="25"/>
      <c r="X1031" s="25"/>
      <c r="Y1031" s="25"/>
      <c r="Z1031" s="25"/>
      <c r="AA1031" s="25"/>
    </row>
    <row r="1032">
      <c r="A1032" s="25"/>
      <c r="B1032" s="25"/>
      <c r="C1032" s="25"/>
      <c r="D1032" s="25"/>
      <c r="E1032" s="25"/>
      <c r="F1032" s="25"/>
      <c r="G1032" s="25"/>
      <c r="H1032" s="25"/>
      <c r="I1032" s="25"/>
      <c r="J1032" s="25"/>
      <c r="K1032" s="25"/>
      <c r="L1032" s="25"/>
      <c r="M1032" s="25"/>
      <c r="N1032" s="25"/>
      <c r="O1032" s="25"/>
      <c r="P1032" s="25"/>
      <c r="Q1032" s="25"/>
      <c r="R1032" s="25"/>
      <c r="S1032" s="25"/>
      <c r="T1032" s="25"/>
      <c r="U1032" s="25"/>
      <c r="V1032" s="25"/>
      <c r="W1032" s="25"/>
      <c r="X1032" s="25"/>
      <c r="Y1032" s="25"/>
      <c r="Z1032" s="25"/>
      <c r="AA1032" s="25"/>
    </row>
    <row r="1033">
      <c r="A1033" s="25"/>
      <c r="B1033" s="25"/>
      <c r="C1033" s="25"/>
      <c r="D1033" s="25"/>
      <c r="E1033" s="25"/>
      <c r="F1033" s="25"/>
      <c r="G1033" s="25"/>
      <c r="H1033" s="25"/>
      <c r="I1033" s="25"/>
      <c r="J1033" s="25"/>
      <c r="K1033" s="25"/>
      <c r="L1033" s="25"/>
      <c r="M1033" s="25"/>
      <c r="N1033" s="25"/>
      <c r="O1033" s="25"/>
      <c r="P1033" s="25"/>
      <c r="Q1033" s="25"/>
      <c r="R1033" s="25"/>
      <c r="S1033" s="25"/>
      <c r="T1033" s="25"/>
      <c r="U1033" s="25"/>
      <c r="V1033" s="25"/>
      <c r="W1033" s="25"/>
      <c r="X1033" s="25"/>
      <c r="Y1033" s="25"/>
      <c r="Z1033" s="25"/>
      <c r="AA1033" s="25"/>
    </row>
    <row r="1034">
      <c r="A1034" s="25"/>
      <c r="B1034" s="25"/>
      <c r="C1034" s="25"/>
      <c r="D1034" s="25"/>
      <c r="E1034" s="25"/>
      <c r="F1034" s="25"/>
      <c r="G1034" s="25"/>
      <c r="H1034" s="25"/>
      <c r="I1034" s="25"/>
      <c r="J1034" s="25"/>
      <c r="K1034" s="25"/>
      <c r="L1034" s="25"/>
      <c r="M1034" s="25"/>
      <c r="N1034" s="25"/>
      <c r="O1034" s="25"/>
      <c r="P1034" s="25"/>
      <c r="Q1034" s="25"/>
      <c r="R1034" s="25"/>
      <c r="S1034" s="25"/>
      <c r="T1034" s="25"/>
      <c r="U1034" s="25"/>
      <c r="V1034" s="25"/>
      <c r="W1034" s="25"/>
      <c r="X1034" s="25"/>
      <c r="Y1034" s="25"/>
      <c r="Z1034" s="25"/>
      <c r="AA1034" s="25"/>
    </row>
    <row r="1035">
      <c r="A1035" s="25"/>
      <c r="B1035" s="25"/>
      <c r="C1035" s="25"/>
      <c r="D1035" s="25"/>
      <c r="E1035" s="25"/>
      <c r="F1035" s="25"/>
      <c r="G1035" s="25"/>
      <c r="H1035" s="25"/>
      <c r="I1035" s="25"/>
      <c r="J1035" s="25"/>
      <c r="K1035" s="25"/>
      <c r="L1035" s="25"/>
      <c r="M1035" s="25"/>
      <c r="N1035" s="25"/>
      <c r="O1035" s="25"/>
      <c r="P1035" s="25"/>
      <c r="Q1035" s="25"/>
      <c r="R1035" s="25"/>
      <c r="S1035" s="25"/>
      <c r="T1035" s="25"/>
      <c r="U1035" s="25"/>
      <c r="V1035" s="25"/>
      <c r="W1035" s="25"/>
      <c r="X1035" s="25"/>
      <c r="Y1035" s="25"/>
      <c r="Z1035" s="25"/>
      <c r="AA1035" s="25"/>
    </row>
    <row r="1036">
      <c r="A1036" s="25"/>
      <c r="B1036" s="25"/>
      <c r="C1036" s="25"/>
      <c r="D1036" s="25"/>
      <c r="E1036" s="25"/>
      <c r="F1036" s="25"/>
      <c r="G1036" s="25"/>
      <c r="H1036" s="25"/>
      <c r="I1036" s="25"/>
      <c r="J1036" s="25"/>
      <c r="K1036" s="25"/>
      <c r="L1036" s="25"/>
      <c r="M1036" s="25"/>
      <c r="N1036" s="25"/>
      <c r="O1036" s="25"/>
      <c r="P1036" s="25"/>
      <c r="Q1036" s="25"/>
      <c r="R1036" s="25"/>
      <c r="S1036" s="25"/>
      <c r="T1036" s="25"/>
      <c r="U1036" s="25"/>
      <c r="V1036" s="25"/>
      <c r="W1036" s="25"/>
      <c r="X1036" s="25"/>
      <c r="Y1036" s="25"/>
      <c r="Z1036" s="25"/>
      <c r="AA1036" s="25"/>
    </row>
    <row r="1037">
      <c r="A1037" s="25"/>
      <c r="B1037" s="25"/>
      <c r="C1037" s="25"/>
      <c r="D1037" s="25"/>
      <c r="E1037" s="25"/>
      <c r="F1037" s="25"/>
      <c r="G1037" s="25"/>
      <c r="H1037" s="25"/>
      <c r="I1037" s="25"/>
      <c r="J1037" s="25"/>
      <c r="K1037" s="25"/>
      <c r="L1037" s="25"/>
      <c r="M1037" s="25"/>
      <c r="N1037" s="25"/>
      <c r="O1037" s="25"/>
      <c r="P1037" s="25"/>
      <c r="Q1037" s="25"/>
      <c r="R1037" s="25"/>
      <c r="S1037" s="25"/>
      <c r="T1037" s="25"/>
      <c r="U1037" s="25"/>
      <c r="V1037" s="25"/>
      <c r="W1037" s="25"/>
      <c r="X1037" s="25"/>
      <c r="Y1037" s="25"/>
      <c r="Z1037" s="25"/>
      <c r="AA1037" s="25"/>
    </row>
    <row r="1038">
      <c r="A1038" s="25"/>
      <c r="B1038" s="25"/>
      <c r="C1038" s="25"/>
      <c r="D1038" s="25"/>
      <c r="E1038" s="25"/>
      <c r="F1038" s="25"/>
      <c r="G1038" s="25"/>
      <c r="H1038" s="25"/>
      <c r="I1038" s="25"/>
      <c r="J1038" s="25"/>
      <c r="K1038" s="25"/>
      <c r="L1038" s="25"/>
      <c r="M1038" s="25"/>
      <c r="N1038" s="25"/>
      <c r="O1038" s="25"/>
      <c r="P1038" s="25"/>
      <c r="Q1038" s="25"/>
      <c r="R1038" s="25"/>
      <c r="S1038" s="25"/>
      <c r="T1038" s="25"/>
      <c r="U1038" s="25"/>
      <c r="V1038" s="25"/>
      <c r="W1038" s="25"/>
      <c r="X1038" s="25"/>
      <c r="Y1038" s="25"/>
      <c r="Z1038" s="25"/>
      <c r="AA1038" s="25"/>
    </row>
    <row r="1039">
      <c r="A1039" s="25"/>
      <c r="B1039" s="25"/>
      <c r="C1039" s="25"/>
      <c r="D1039" s="25"/>
      <c r="E1039" s="25"/>
      <c r="F1039" s="25"/>
      <c r="G1039" s="25"/>
      <c r="H1039" s="25"/>
      <c r="I1039" s="25"/>
      <c r="J1039" s="25"/>
      <c r="K1039" s="25"/>
      <c r="L1039" s="25"/>
      <c r="M1039" s="25"/>
      <c r="N1039" s="25"/>
      <c r="O1039" s="25"/>
      <c r="P1039" s="25"/>
      <c r="Q1039" s="25"/>
      <c r="R1039" s="25"/>
      <c r="S1039" s="25"/>
      <c r="T1039" s="25"/>
      <c r="U1039" s="25"/>
      <c r="V1039" s="25"/>
      <c r="W1039" s="25"/>
      <c r="X1039" s="25"/>
      <c r="Y1039" s="25"/>
      <c r="Z1039" s="25"/>
      <c r="AA1039" s="25"/>
    </row>
    <row r="1040">
      <c r="A1040" s="25"/>
      <c r="B1040" s="25"/>
      <c r="C1040" s="25"/>
      <c r="D1040" s="25"/>
      <c r="E1040" s="25"/>
      <c r="F1040" s="25"/>
      <c r="G1040" s="25"/>
      <c r="H1040" s="25"/>
      <c r="I1040" s="25"/>
      <c r="J1040" s="25"/>
      <c r="K1040" s="25"/>
      <c r="L1040" s="25"/>
      <c r="M1040" s="25"/>
      <c r="N1040" s="25"/>
      <c r="O1040" s="25"/>
      <c r="P1040" s="25"/>
      <c r="Q1040" s="25"/>
      <c r="R1040" s="25"/>
      <c r="S1040" s="25"/>
      <c r="T1040" s="25"/>
      <c r="U1040" s="25"/>
      <c r="V1040" s="25"/>
      <c r="W1040" s="25"/>
      <c r="X1040" s="25"/>
      <c r="Y1040" s="25"/>
      <c r="Z1040" s="25"/>
      <c r="AA1040" s="25"/>
    </row>
    <row r="1041">
      <c r="A1041" s="25"/>
      <c r="B1041" s="25"/>
      <c r="C1041" s="25"/>
      <c r="D1041" s="25"/>
      <c r="E1041" s="25"/>
      <c r="F1041" s="25"/>
      <c r="G1041" s="25"/>
      <c r="H1041" s="25"/>
      <c r="I1041" s="25"/>
      <c r="J1041" s="25"/>
      <c r="K1041" s="25"/>
      <c r="L1041" s="25"/>
      <c r="M1041" s="25"/>
      <c r="N1041" s="25"/>
      <c r="O1041" s="25"/>
      <c r="P1041" s="25"/>
      <c r="Q1041" s="25"/>
      <c r="R1041" s="25"/>
      <c r="S1041" s="25"/>
      <c r="T1041" s="25"/>
      <c r="U1041" s="25"/>
      <c r="V1041" s="25"/>
      <c r="W1041" s="25"/>
      <c r="X1041" s="25"/>
      <c r="Y1041" s="25"/>
      <c r="Z1041" s="25"/>
      <c r="AA1041" s="25"/>
    </row>
    <row r="1042">
      <c r="A1042" s="25"/>
      <c r="B1042" s="25"/>
      <c r="C1042" s="25"/>
      <c r="D1042" s="25"/>
      <c r="E1042" s="25"/>
      <c r="F1042" s="25"/>
      <c r="G1042" s="25"/>
      <c r="H1042" s="25"/>
      <c r="I1042" s="25"/>
      <c r="J1042" s="25"/>
      <c r="K1042" s="25"/>
      <c r="L1042" s="25"/>
      <c r="M1042" s="25"/>
      <c r="N1042" s="25"/>
      <c r="O1042" s="25"/>
      <c r="P1042" s="25"/>
      <c r="Q1042" s="25"/>
      <c r="R1042" s="25"/>
      <c r="S1042" s="25"/>
      <c r="T1042" s="25"/>
      <c r="U1042" s="25"/>
      <c r="V1042" s="25"/>
      <c r="W1042" s="25"/>
      <c r="X1042" s="25"/>
      <c r="Y1042" s="25"/>
      <c r="Z1042" s="25"/>
      <c r="AA1042" s="25"/>
    </row>
    <row r="1043">
      <c r="A1043" s="25"/>
      <c r="B1043" s="25"/>
      <c r="C1043" s="25"/>
      <c r="D1043" s="25"/>
      <c r="E1043" s="25"/>
      <c r="F1043" s="25"/>
      <c r="G1043" s="25"/>
      <c r="H1043" s="25"/>
      <c r="I1043" s="25"/>
      <c r="J1043" s="25"/>
      <c r="K1043" s="25"/>
      <c r="L1043" s="25"/>
      <c r="M1043" s="25"/>
      <c r="N1043" s="25"/>
      <c r="O1043" s="25"/>
      <c r="P1043" s="25"/>
      <c r="Q1043" s="25"/>
      <c r="R1043" s="25"/>
      <c r="S1043" s="25"/>
      <c r="T1043" s="25"/>
      <c r="U1043" s="25"/>
      <c r="V1043" s="25"/>
      <c r="W1043" s="25"/>
      <c r="X1043" s="25"/>
      <c r="Y1043" s="25"/>
      <c r="Z1043" s="25"/>
      <c r="AA1043" s="25"/>
    </row>
    <row r="1044">
      <c r="A1044" s="25"/>
      <c r="B1044" s="25"/>
      <c r="C1044" s="25"/>
      <c r="D1044" s="25"/>
      <c r="E1044" s="25"/>
      <c r="F1044" s="25"/>
      <c r="G1044" s="25"/>
      <c r="H1044" s="25"/>
      <c r="I1044" s="25"/>
      <c r="J1044" s="25"/>
      <c r="K1044" s="25"/>
      <c r="L1044" s="25"/>
      <c r="M1044" s="25"/>
      <c r="N1044" s="25"/>
      <c r="O1044" s="25"/>
      <c r="P1044" s="25"/>
      <c r="Q1044" s="25"/>
      <c r="R1044" s="25"/>
      <c r="S1044" s="25"/>
      <c r="T1044" s="25"/>
      <c r="U1044" s="25"/>
      <c r="V1044" s="25"/>
      <c r="W1044" s="25"/>
      <c r="X1044" s="25"/>
      <c r="Y1044" s="25"/>
      <c r="Z1044" s="25"/>
      <c r="AA1044" s="25"/>
    </row>
    <row r="1045">
      <c r="A1045" s="25"/>
      <c r="B1045" s="25"/>
      <c r="C1045" s="25"/>
      <c r="D1045" s="25"/>
      <c r="E1045" s="25"/>
      <c r="F1045" s="25"/>
      <c r="G1045" s="25"/>
      <c r="H1045" s="25"/>
      <c r="I1045" s="25"/>
      <c r="J1045" s="25"/>
      <c r="K1045" s="25"/>
      <c r="L1045" s="25"/>
      <c r="M1045" s="25"/>
      <c r="N1045" s="25"/>
      <c r="O1045" s="25"/>
      <c r="P1045" s="25"/>
      <c r="Q1045" s="25"/>
      <c r="R1045" s="25"/>
      <c r="S1045" s="25"/>
      <c r="T1045" s="25"/>
      <c r="U1045" s="25"/>
      <c r="V1045" s="25"/>
      <c r="W1045" s="25"/>
      <c r="X1045" s="25"/>
      <c r="Y1045" s="25"/>
      <c r="Z1045" s="25"/>
      <c r="AA1045" s="25"/>
    </row>
    <row r="1046">
      <c r="A1046" s="25"/>
      <c r="B1046" s="25"/>
      <c r="C1046" s="25"/>
      <c r="D1046" s="25"/>
      <c r="E1046" s="25"/>
      <c r="F1046" s="25"/>
      <c r="G1046" s="25"/>
      <c r="H1046" s="25"/>
      <c r="I1046" s="25"/>
      <c r="J1046" s="25"/>
      <c r="K1046" s="25"/>
      <c r="L1046" s="25"/>
      <c r="M1046" s="25"/>
      <c r="N1046" s="25"/>
      <c r="O1046" s="25"/>
      <c r="P1046" s="25"/>
      <c r="Q1046" s="25"/>
      <c r="R1046" s="25"/>
      <c r="S1046" s="25"/>
      <c r="T1046" s="25"/>
      <c r="U1046" s="25"/>
      <c r="V1046" s="25"/>
      <c r="W1046" s="25"/>
      <c r="X1046" s="25"/>
      <c r="Y1046" s="25"/>
      <c r="Z1046" s="25"/>
      <c r="AA1046" s="25"/>
    </row>
    <row r="1047">
      <c r="A1047" s="25"/>
      <c r="B1047" s="25"/>
      <c r="C1047" s="25"/>
      <c r="D1047" s="25"/>
      <c r="E1047" s="25"/>
      <c r="F1047" s="25"/>
      <c r="G1047" s="25"/>
      <c r="H1047" s="25"/>
      <c r="I1047" s="25"/>
      <c r="J1047" s="25"/>
      <c r="K1047" s="25"/>
      <c r="L1047" s="25"/>
      <c r="M1047" s="25"/>
      <c r="N1047" s="25"/>
      <c r="O1047" s="25"/>
      <c r="P1047" s="25"/>
      <c r="Q1047" s="25"/>
      <c r="R1047" s="25"/>
      <c r="S1047" s="25"/>
      <c r="T1047" s="25"/>
      <c r="U1047" s="25"/>
      <c r="V1047" s="25"/>
      <c r="W1047" s="25"/>
      <c r="X1047" s="25"/>
      <c r="Y1047" s="25"/>
      <c r="Z1047" s="25"/>
      <c r="AA1047" s="25"/>
    </row>
    <row r="1048">
      <c r="A1048" s="25"/>
      <c r="B1048" s="25"/>
      <c r="C1048" s="25"/>
      <c r="D1048" s="25"/>
      <c r="E1048" s="25"/>
      <c r="F1048" s="25"/>
      <c r="G1048" s="25"/>
      <c r="H1048" s="25"/>
      <c r="I1048" s="25"/>
      <c r="J1048" s="25"/>
      <c r="K1048" s="25"/>
      <c r="L1048" s="25"/>
      <c r="M1048" s="25"/>
      <c r="N1048" s="25"/>
      <c r="O1048" s="25"/>
      <c r="P1048" s="25"/>
      <c r="Q1048" s="25"/>
      <c r="R1048" s="25"/>
      <c r="S1048" s="25"/>
      <c r="T1048" s="25"/>
      <c r="U1048" s="25"/>
      <c r="V1048" s="25"/>
      <c r="W1048" s="25"/>
      <c r="X1048" s="25"/>
      <c r="Y1048" s="25"/>
      <c r="Z1048" s="25"/>
      <c r="AA1048" s="25"/>
    </row>
    <row r="1049">
      <c r="A1049" s="25"/>
      <c r="B1049" s="25"/>
      <c r="C1049" s="25"/>
      <c r="D1049" s="25"/>
      <c r="E1049" s="25"/>
      <c r="F1049" s="25"/>
      <c r="G1049" s="25"/>
      <c r="H1049" s="25"/>
      <c r="I1049" s="25"/>
      <c r="J1049" s="25"/>
      <c r="K1049" s="25"/>
      <c r="L1049" s="25"/>
      <c r="M1049" s="25"/>
      <c r="N1049" s="25"/>
      <c r="O1049" s="25"/>
      <c r="P1049" s="25"/>
      <c r="Q1049" s="25"/>
      <c r="R1049" s="25"/>
      <c r="S1049" s="25"/>
      <c r="T1049" s="25"/>
      <c r="U1049" s="25"/>
      <c r="V1049" s="25"/>
      <c r="W1049" s="25"/>
      <c r="X1049" s="25"/>
      <c r="Y1049" s="25"/>
      <c r="Z1049" s="25"/>
      <c r="AA1049" s="25"/>
    </row>
    <row r="1050">
      <c r="A1050" s="25"/>
      <c r="B1050" s="25"/>
      <c r="C1050" s="25"/>
      <c r="D1050" s="25"/>
      <c r="E1050" s="25"/>
      <c r="F1050" s="25"/>
      <c r="G1050" s="25"/>
      <c r="H1050" s="25"/>
      <c r="I1050" s="25"/>
      <c r="J1050" s="25"/>
      <c r="K1050" s="25"/>
      <c r="L1050" s="25"/>
      <c r="M1050" s="25"/>
      <c r="N1050" s="25"/>
      <c r="O1050" s="25"/>
      <c r="P1050" s="25"/>
      <c r="Q1050" s="25"/>
      <c r="R1050" s="25"/>
      <c r="S1050" s="25"/>
      <c r="T1050" s="25"/>
      <c r="U1050" s="25"/>
      <c r="V1050" s="25"/>
      <c r="W1050" s="25"/>
      <c r="X1050" s="25"/>
      <c r="Y1050" s="25"/>
      <c r="Z1050" s="25"/>
      <c r="AA1050" s="25"/>
    </row>
    <row r="1051">
      <c r="A1051" s="25"/>
      <c r="B1051" s="25"/>
      <c r="C1051" s="25"/>
      <c r="D1051" s="25"/>
      <c r="E1051" s="25"/>
      <c r="F1051" s="25"/>
      <c r="G1051" s="25"/>
      <c r="H1051" s="25"/>
      <c r="I1051" s="25"/>
      <c r="J1051" s="25"/>
      <c r="K1051" s="25"/>
      <c r="L1051" s="25"/>
      <c r="M1051" s="25"/>
      <c r="N1051" s="25"/>
      <c r="O1051" s="25"/>
      <c r="P1051" s="25"/>
      <c r="Q1051" s="25"/>
      <c r="R1051" s="25"/>
      <c r="S1051" s="25"/>
      <c r="T1051" s="25"/>
      <c r="U1051" s="25"/>
      <c r="V1051" s="25"/>
      <c r="W1051" s="25"/>
      <c r="X1051" s="25"/>
      <c r="Y1051" s="25"/>
      <c r="Z1051" s="25"/>
      <c r="AA1051" s="25"/>
    </row>
    <row r="1052">
      <c r="A1052" s="25"/>
      <c r="B1052" s="25"/>
      <c r="C1052" s="25"/>
      <c r="D1052" s="25"/>
      <c r="E1052" s="25"/>
      <c r="F1052" s="25"/>
      <c r="G1052" s="25"/>
      <c r="H1052" s="25"/>
      <c r="I1052" s="25"/>
      <c r="J1052" s="25"/>
      <c r="K1052" s="25"/>
      <c r="L1052" s="25"/>
      <c r="M1052" s="25"/>
      <c r="N1052" s="25"/>
      <c r="O1052" s="25"/>
      <c r="P1052" s="25"/>
      <c r="Q1052" s="25"/>
      <c r="R1052" s="25"/>
      <c r="S1052" s="25"/>
      <c r="T1052" s="25"/>
      <c r="U1052" s="25"/>
      <c r="V1052" s="25"/>
      <c r="W1052" s="25"/>
      <c r="X1052" s="25"/>
      <c r="Y1052" s="25"/>
      <c r="Z1052" s="25"/>
      <c r="AA1052" s="25"/>
    </row>
    <row r="1053">
      <c r="A1053" s="25"/>
      <c r="B1053" s="25"/>
      <c r="C1053" s="25"/>
      <c r="D1053" s="25"/>
      <c r="E1053" s="25"/>
      <c r="F1053" s="25"/>
      <c r="G1053" s="25"/>
      <c r="H1053" s="25"/>
      <c r="I1053" s="25"/>
      <c r="J1053" s="25"/>
      <c r="K1053" s="25"/>
      <c r="L1053" s="25"/>
      <c r="M1053" s="25"/>
      <c r="N1053" s="25"/>
      <c r="O1053" s="25"/>
      <c r="P1053" s="25"/>
      <c r="Q1053" s="25"/>
      <c r="R1053" s="25"/>
      <c r="S1053" s="25"/>
      <c r="T1053" s="25"/>
      <c r="U1053" s="25"/>
      <c r="V1053" s="25"/>
      <c r="W1053" s="25"/>
      <c r="X1053" s="25"/>
      <c r="Y1053" s="25"/>
      <c r="Z1053" s="25"/>
      <c r="AA1053" s="25"/>
    </row>
    <row r="1054">
      <c r="A1054" s="25"/>
      <c r="B1054" s="25"/>
      <c r="C1054" s="25"/>
      <c r="D1054" s="25"/>
      <c r="E1054" s="25"/>
      <c r="F1054" s="25"/>
      <c r="G1054" s="25"/>
      <c r="H1054" s="25"/>
      <c r="I1054" s="25"/>
      <c r="J1054" s="25"/>
      <c r="K1054" s="25"/>
      <c r="L1054" s="25"/>
      <c r="M1054" s="25"/>
      <c r="N1054" s="25"/>
      <c r="O1054" s="25"/>
      <c r="P1054" s="25"/>
      <c r="Q1054" s="25"/>
      <c r="R1054" s="25"/>
      <c r="S1054" s="25"/>
      <c r="T1054" s="25"/>
      <c r="U1054" s="25"/>
      <c r="V1054" s="25"/>
      <c r="W1054" s="25"/>
      <c r="X1054" s="25"/>
      <c r="Y1054" s="25"/>
      <c r="Z1054" s="25"/>
      <c r="AA1054" s="25"/>
    </row>
    <row r="1055">
      <c r="A1055" s="25"/>
      <c r="B1055" s="25"/>
      <c r="C1055" s="25"/>
      <c r="D1055" s="25"/>
      <c r="E1055" s="25"/>
      <c r="F1055" s="25"/>
      <c r="G1055" s="25"/>
      <c r="H1055" s="25"/>
      <c r="I1055" s="25"/>
      <c r="J1055" s="25"/>
      <c r="K1055" s="25"/>
      <c r="L1055" s="25"/>
      <c r="M1055" s="25"/>
      <c r="N1055" s="25"/>
      <c r="O1055" s="25"/>
      <c r="P1055" s="25"/>
      <c r="Q1055" s="25"/>
      <c r="R1055" s="25"/>
      <c r="S1055" s="25"/>
      <c r="T1055" s="25"/>
      <c r="U1055" s="25"/>
      <c r="V1055" s="25"/>
      <c r="W1055" s="25"/>
      <c r="X1055" s="25"/>
      <c r="Y1055" s="25"/>
      <c r="Z1055" s="25"/>
      <c r="AA1055" s="25"/>
    </row>
    <row r="1056">
      <c r="A1056" s="25"/>
      <c r="B1056" s="25"/>
      <c r="C1056" s="25"/>
      <c r="D1056" s="25"/>
      <c r="E1056" s="25"/>
      <c r="F1056" s="25"/>
      <c r="G1056" s="25"/>
      <c r="H1056" s="25"/>
      <c r="I1056" s="25"/>
      <c r="J1056" s="25"/>
      <c r="K1056" s="25"/>
      <c r="L1056" s="25"/>
      <c r="M1056" s="25"/>
      <c r="N1056" s="25"/>
      <c r="O1056" s="25"/>
      <c r="P1056" s="25"/>
      <c r="Q1056" s="25"/>
      <c r="R1056" s="25"/>
      <c r="S1056" s="25"/>
      <c r="T1056" s="25"/>
      <c r="U1056" s="25"/>
      <c r="V1056" s="25"/>
      <c r="W1056" s="25"/>
      <c r="X1056" s="25"/>
      <c r="Y1056" s="25"/>
      <c r="Z1056" s="25"/>
      <c r="AA1056" s="25"/>
    </row>
    <row r="1057">
      <c r="A1057" s="25"/>
      <c r="B1057" s="25"/>
      <c r="C1057" s="25"/>
      <c r="D1057" s="25"/>
      <c r="E1057" s="25"/>
      <c r="F1057" s="25"/>
      <c r="G1057" s="25"/>
      <c r="H1057" s="25"/>
      <c r="I1057" s="25"/>
      <c r="J1057" s="25"/>
      <c r="K1057" s="25"/>
      <c r="L1057" s="25"/>
      <c r="M1057" s="25"/>
      <c r="N1057" s="25"/>
      <c r="O1057" s="25"/>
      <c r="P1057" s="25"/>
      <c r="Q1057" s="25"/>
      <c r="R1057" s="25"/>
      <c r="S1057" s="25"/>
      <c r="T1057" s="25"/>
      <c r="U1057" s="25"/>
      <c r="V1057" s="25"/>
      <c r="W1057" s="25"/>
      <c r="X1057" s="25"/>
      <c r="Y1057" s="25"/>
      <c r="Z1057" s="25"/>
      <c r="AA1057" s="25"/>
    </row>
    <row r="1058">
      <c r="A1058" s="25"/>
      <c r="B1058" s="25"/>
      <c r="C1058" s="25"/>
      <c r="D1058" s="25"/>
      <c r="E1058" s="25"/>
      <c r="F1058" s="25"/>
      <c r="G1058" s="25"/>
      <c r="H1058" s="25"/>
      <c r="I1058" s="25"/>
      <c r="J1058" s="25"/>
      <c r="K1058" s="25"/>
      <c r="L1058" s="25"/>
      <c r="M1058" s="25"/>
      <c r="N1058" s="25"/>
      <c r="O1058" s="25"/>
      <c r="P1058" s="25"/>
      <c r="Q1058" s="25"/>
      <c r="R1058" s="25"/>
      <c r="S1058" s="25"/>
      <c r="T1058" s="25"/>
      <c r="U1058" s="25"/>
      <c r="V1058" s="25"/>
      <c r="W1058" s="25"/>
      <c r="X1058" s="25"/>
      <c r="Y1058" s="25"/>
      <c r="Z1058" s="25"/>
      <c r="AA1058" s="25"/>
    </row>
    <row r="1059">
      <c r="A1059" s="25"/>
      <c r="B1059" s="25"/>
      <c r="C1059" s="25"/>
      <c r="D1059" s="25"/>
      <c r="E1059" s="25"/>
      <c r="F1059" s="25"/>
      <c r="G1059" s="25"/>
      <c r="H1059" s="25"/>
      <c r="I1059" s="25"/>
      <c r="J1059" s="25"/>
      <c r="K1059" s="25"/>
      <c r="L1059" s="25"/>
      <c r="M1059" s="25"/>
      <c r="N1059" s="25"/>
      <c r="O1059" s="25"/>
      <c r="P1059" s="25"/>
      <c r="Q1059" s="25"/>
      <c r="R1059" s="25"/>
      <c r="S1059" s="25"/>
      <c r="T1059" s="25"/>
      <c r="U1059" s="25"/>
      <c r="V1059" s="25"/>
      <c r="W1059" s="25"/>
      <c r="X1059" s="25"/>
      <c r="Y1059" s="25"/>
      <c r="Z1059" s="25"/>
      <c r="AA1059" s="25"/>
    </row>
    <row r="1060">
      <c r="A1060" s="25"/>
      <c r="B1060" s="25"/>
      <c r="C1060" s="25"/>
      <c r="D1060" s="25"/>
      <c r="E1060" s="25"/>
      <c r="F1060" s="25"/>
      <c r="G1060" s="25"/>
      <c r="H1060" s="25"/>
      <c r="I1060" s="25"/>
      <c r="J1060" s="25"/>
      <c r="K1060" s="25"/>
      <c r="L1060" s="25"/>
      <c r="M1060" s="25"/>
      <c r="N1060" s="25"/>
      <c r="O1060" s="25"/>
      <c r="P1060" s="25"/>
      <c r="Q1060" s="25"/>
      <c r="R1060" s="25"/>
      <c r="S1060" s="25"/>
      <c r="T1060" s="25"/>
      <c r="U1060" s="25"/>
      <c r="V1060" s="25"/>
      <c r="W1060" s="25"/>
      <c r="X1060" s="25"/>
      <c r="Y1060" s="25"/>
      <c r="Z1060" s="25"/>
      <c r="AA1060" s="25"/>
    </row>
    <row r="1061">
      <c r="A1061" s="25"/>
      <c r="B1061" s="25"/>
      <c r="C1061" s="25"/>
      <c r="D1061" s="25"/>
      <c r="E1061" s="25"/>
      <c r="F1061" s="25"/>
      <c r="G1061" s="25"/>
      <c r="H1061" s="25"/>
      <c r="I1061" s="25"/>
      <c r="J1061" s="25"/>
      <c r="K1061" s="25"/>
      <c r="L1061" s="25"/>
      <c r="M1061" s="25"/>
      <c r="N1061" s="25"/>
      <c r="O1061" s="25"/>
      <c r="P1061" s="25"/>
      <c r="Q1061" s="25"/>
      <c r="R1061" s="25"/>
      <c r="S1061" s="25"/>
      <c r="T1061" s="25"/>
      <c r="U1061" s="25"/>
      <c r="V1061" s="25"/>
      <c r="W1061" s="25"/>
      <c r="X1061" s="25"/>
      <c r="Y1061" s="25"/>
      <c r="Z1061" s="25"/>
      <c r="AA1061" s="25"/>
    </row>
    <row r="1062">
      <c r="A1062" s="25"/>
      <c r="B1062" s="25"/>
      <c r="C1062" s="25"/>
      <c r="D1062" s="25"/>
      <c r="E1062" s="25"/>
      <c r="F1062" s="25"/>
      <c r="G1062" s="25"/>
      <c r="H1062" s="25"/>
      <c r="I1062" s="25"/>
      <c r="J1062" s="25"/>
      <c r="K1062" s="25"/>
      <c r="L1062" s="25"/>
      <c r="M1062" s="25"/>
      <c r="N1062" s="25"/>
      <c r="O1062" s="25"/>
      <c r="P1062" s="25"/>
      <c r="Q1062" s="25"/>
      <c r="R1062" s="25"/>
      <c r="S1062" s="25"/>
      <c r="T1062" s="25"/>
      <c r="U1062" s="25"/>
      <c r="V1062" s="25"/>
      <c r="W1062" s="25"/>
      <c r="X1062" s="25"/>
      <c r="Y1062" s="25"/>
      <c r="Z1062" s="25"/>
      <c r="AA1062" s="25"/>
    </row>
    <row r="1063">
      <c r="A1063" s="25"/>
      <c r="B1063" s="25"/>
      <c r="C1063" s="25"/>
      <c r="D1063" s="25"/>
      <c r="E1063" s="25"/>
      <c r="F1063" s="25"/>
      <c r="G1063" s="25"/>
      <c r="H1063" s="25"/>
      <c r="I1063" s="25"/>
      <c r="J1063" s="25"/>
      <c r="K1063" s="25"/>
      <c r="L1063" s="25"/>
      <c r="M1063" s="25"/>
      <c r="N1063" s="25"/>
      <c r="O1063" s="25"/>
      <c r="P1063" s="25"/>
      <c r="Q1063" s="25"/>
      <c r="R1063" s="25"/>
      <c r="S1063" s="25"/>
      <c r="T1063" s="25"/>
      <c r="U1063" s="25"/>
      <c r="V1063" s="25"/>
      <c r="W1063" s="25"/>
      <c r="X1063" s="25"/>
      <c r="Y1063" s="25"/>
      <c r="Z1063" s="25"/>
      <c r="AA1063" s="25"/>
    </row>
    <row r="1064">
      <c r="A1064" s="25"/>
      <c r="B1064" s="25"/>
      <c r="C1064" s="25"/>
      <c r="D1064" s="25"/>
      <c r="E1064" s="25"/>
      <c r="F1064" s="25"/>
      <c r="G1064" s="25"/>
      <c r="H1064" s="25"/>
      <c r="I1064" s="25"/>
      <c r="J1064" s="25"/>
      <c r="K1064" s="25"/>
      <c r="L1064" s="25"/>
      <c r="M1064" s="25"/>
      <c r="N1064" s="25"/>
      <c r="O1064" s="25"/>
      <c r="P1064" s="25"/>
      <c r="Q1064" s="25"/>
      <c r="R1064" s="25"/>
      <c r="S1064" s="25"/>
      <c r="T1064" s="25"/>
      <c r="U1064" s="25"/>
      <c r="V1064" s="25"/>
      <c r="W1064" s="25"/>
      <c r="X1064" s="25"/>
      <c r="Y1064" s="25"/>
      <c r="Z1064" s="25"/>
      <c r="AA1064" s="25"/>
    </row>
    <row r="1065">
      <c r="A1065" s="25"/>
      <c r="B1065" s="25"/>
      <c r="C1065" s="25"/>
      <c r="D1065" s="25"/>
      <c r="E1065" s="25"/>
      <c r="F1065" s="25"/>
      <c r="G1065" s="25"/>
      <c r="H1065" s="25"/>
      <c r="I1065" s="25"/>
      <c r="J1065" s="25"/>
      <c r="K1065" s="25"/>
      <c r="L1065" s="25"/>
      <c r="M1065" s="25"/>
      <c r="N1065" s="25"/>
      <c r="O1065" s="25"/>
      <c r="P1065" s="25"/>
      <c r="Q1065" s="25"/>
      <c r="R1065" s="25"/>
      <c r="S1065" s="25"/>
      <c r="T1065" s="25"/>
      <c r="U1065" s="25"/>
      <c r="V1065" s="25"/>
      <c r="W1065" s="25"/>
      <c r="X1065" s="25"/>
      <c r="Y1065" s="25"/>
      <c r="Z1065" s="25"/>
      <c r="AA1065" s="25"/>
    </row>
    <row r="1066">
      <c r="A1066" s="25"/>
      <c r="B1066" s="25"/>
      <c r="C1066" s="25"/>
      <c r="D1066" s="25"/>
      <c r="E1066" s="25"/>
      <c r="F1066" s="25"/>
      <c r="G1066" s="25"/>
      <c r="H1066" s="25"/>
      <c r="I1066" s="25"/>
      <c r="J1066" s="25"/>
      <c r="K1066" s="25"/>
      <c r="L1066" s="25"/>
      <c r="M1066" s="25"/>
      <c r="N1066" s="25"/>
      <c r="O1066" s="25"/>
      <c r="P1066" s="25"/>
      <c r="Q1066" s="25"/>
      <c r="R1066" s="25"/>
      <c r="S1066" s="25"/>
      <c r="T1066" s="25"/>
      <c r="U1066" s="25"/>
      <c r="V1066" s="25"/>
      <c r="W1066" s="25"/>
      <c r="X1066" s="25"/>
      <c r="Y1066" s="25"/>
      <c r="Z1066" s="25"/>
      <c r="AA1066" s="25"/>
    </row>
    <row r="1067">
      <c r="A1067" s="25"/>
      <c r="B1067" s="25"/>
      <c r="C1067" s="25"/>
      <c r="D1067" s="25"/>
      <c r="E1067" s="25"/>
      <c r="F1067" s="25"/>
      <c r="G1067" s="25"/>
      <c r="H1067" s="25"/>
      <c r="I1067" s="25"/>
      <c r="J1067" s="25"/>
      <c r="K1067" s="25"/>
      <c r="L1067" s="25"/>
      <c r="M1067" s="25"/>
      <c r="N1067" s="25"/>
      <c r="O1067" s="25"/>
      <c r="P1067" s="25"/>
      <c r="Q1067" s="25"/>
      <c r="R1067" s="25"/>
      <c r="S1067" s="25"/>
      <c r="T1067" s="25"/>
      <c r="U1067" s="25"/>
      <c r="V1067" s="25"/>
      <c r="W1067" s="25"/>
      <c r="X1067" s="25"/>
      <c r="Y1067" s="25"/>
      <c r="Z1067" s="25"/>
      <c r="AA1067" s="25"/>
    </row>
    <row r="1068">
      <c r="A1068" s="25"/>
      <c r="B1068" s="25"/>
      <c r="C1068" s="25"/>
      <c r="D1068" s="25"/>
      <c r="E1068" s="25"/>
      <c r="F1068" s="25"/>
      <c r="G1068" s="25"/>
      <c r="H1068" s="25"/>
      <c r="I1068" s="25"/>
      <c r="J1068" s="25"/>
      <c r="K1068" s="25"/>
      <c r="L1068" s="25"/>
      <c r="M1068" s="25"/>
      <c r="N1068" s="25"/>
      <c r="O1068" s="25"/>
      <c r="P1068" s="25"/>
      <c r="Q1068" s="25"/>
      <c r="R1068" s="25"/>
      <c r="S1068" s="25"/>
      <c r="T1068" s="25"/>
      <c r="U1068" s="25"/>
      <c r="V1068" s="25"/>
      <c r="W1068" s="25"/>
      <c r="X1068" s="25"/>
      <c r="Y1068" s="25"/>
      <c r="Z1068" s="25"/>
      <c r="AA1068" s="25"/>
    </row>
    <row r="1069">
      <c r="A1069" s="25"/>
      <c r="B1069" s="25"/>
      <c r="C1069" s="25"/>
      <c r="D1069" s="25"/>
      <c r="E1069" s="25"/>
      <c r="F1069" s="25"/>
      <c r="G1069" s="25"/>
      <c r="H1069" s="25"/>
      <c r="I1069" s="25"/>
      <c r="J1069" s="25"/>
      <c r="K1069" s="25"/>
      <c r="L1069" s="25"/>
      <c r="M1069" s="25"/>
      <c r="N1069" s="25"/>
      <c r="O1069" s="25"/>
      <c r="P1069" s="25"/>
      <c r="Q1069" s="25"/>
      <c r="R1069" s="25"/>
      <c r="S1069" s="25"/>
      <c r="T1069" s="25"/>
      <c r="U1069" s="25"/>
      <c r="V1069" s="25"/>
      <c r="W1069" s="25"/>
      <c r="X1069" s="25"/>
      <c r="Y1069" s="25"/>
      <c r="Z1069" s="25"/>
      <c r="AA1069" s="25"/>
    </row>
    <row r="1070">
      <c r="A1070" s="25"/>
      <c r="B1070" s="25"/>
      <c r="C1070" s="25"/>
      <c r="D1070" s="25"/>
      <c r="E1070" s="25"/>
      <c r="F1070" s="25"/>
      <c r="G1070" s="25"/>
      <c r="H1070" s="25"/>
      <c r="I1070" s="25"/>
      <c r="J1070" s="25"/>
      <c r="K1070" s="25"/>
      <c r="L1070" s="25"/>
      <c r="M1070" s="25"/>
      <c r="N1070" s="25"/>
      <c r="O1070" s="25"/>
      <c r="P1070" s="25"/>
      <c r="Q1070" s="25"/>
      <c r="R1070" s="25"/>
      <c r="S1070" s="25"/>
      <c r="T1070" s="25"/>
      <c r="U1070" s="25"/>
      <c r="V1070" s="25"/>
      <c r="W1070" s="25"/>
      <c r="X1070" s="25"/>
      <c r="Y1070" s="25"/>
      <c r="Z1070" s="25"/>
      <c r="AA1070" s="25"/>
    </row>
  </sheetData>
  <printOptions gridLines="1" horizontalCentered="1"/>
  <pageMargins bottom="0.75" footer="0.0" header="0.0" left="0.7" right="0.7" top="0.75"/>
  <pageSetup fitToHeight="0" cellComments="atEnd" orientation="landscape" pageOrder="overThenDown"/>
  <drawing r:id="rId4"/>
  <legacy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2" max="2" width="8.75"/>
    <col customWidth="1" min="3" max="3" width="11.5"/>
    <col customWidth="1" min="4" max="4" width="7.63"/>
    <col customWidth="1" min="5" max="5" width="6.25"/>
    <col customWidth="1" min="6" max="6" width="10.5"/>
    <col customWidth="1" min="7" max="7" width="9.75"/>
    <col customWidth="1" min="10" max="10" width="10.38"/>
    <col customWidth="1" min="11" max="12" width="15.13"/>
    <col customWidth="1" min="18" max="18" width="9.13"/>
    <col customWidth="1" min="19" max="19" width="18.5"/>
  </cols>
  <sheetData>
    <row r="1">
      <c r="A1" s="4"/>
      <c r="B1" s="4"/>
      <c r="C1" s="4"/>
      <c r="D1" s="4"/>
      <c r="E1" s="4"/>
      <c r="F1" s="4"/>
      <c r="G1" s="4"/>
      <c r="H1" s="33" t="s">
        <v>440</v>
      </c>
      <c r="I1" s="33">
        <f>C9+J9+Q9</f>
        <v>99</v>
      </c>
      <c r="J1" s="33"/>
      <c r="K1" s="4"/>
      <c r="L1" s="33"/>
      <c r="M1" s="33"/>
      <c r="N1" s="33"/>
      <c r="O1" s="33"/>
      <c r="P1" s="33"/>
      <c r="Q1" s="33"/>
      <c r="R1" s="33"/>
      <c r="S1" s="34"/>
    </row>
    <row r="2">
      <c r="A2" s="4"/>
      <c r="B2" s="4"/>
      <c r="C2" s="4"/>
      <c r="D2" s="4"/>
      <c r="E2" s="4"/>
      <c r="F2" s="4"/>
      <c r="G2" s="4"/>
      <c r="H2" s="33" t="s">
        <v>441</v>
      </c>
      <c r="I2" s="33">
        <f>H9+M9</f>
        <v>44</v>
      </c>
      <c r="J2" s="33"/>
      <c r="K2" s="4"/>
      <c r="L2" s="33"/>
      <c r="M2" s="33"/>
      <c r="N2" s="33"/>
      <c r="O2" s="33"/>
      <c r="P2" s="33"/>
      <c r="Q2" s="33"/>
      <c r="R2" s="33"/>
      <c r="S2" s="34"/>
    </row>
    <row r="3">
      <c r="A3" s="4"/>
      <c r="B3" s="4"/>
      <c r="C3" s="4"/>
      <c r="D3" s="4"/>
      <c r="E3" s="4"/>
      <c r="F3" s="4"/>
      <c r="G3" s="4"/>
      <c r="H3" s="33" t="s">
        <v>442</v>
      </c>
      <c r="I3" s="33">
        <f>I9+N9</f>
        <v>9</v>
      </c>
      <c r="J3" s="33"/>
      <c r="K3" s="4"/>
      <c r="L3" s="33"/>
      <c r="M3" s="33"/>
      <c r="N3" s="33"/>
      <c r="O3" s="33"/>
      <c r="P3" s="33"/>
      <c r="Q3" s="33"/>
      <c r="R3" s="33"/>
      <c r="S3" s="34"/>
    </row>
    <row r="4">
      <c r="A4" s="4"/>
      <c r="B4" s="4"/>
      <c r="C4" s="4"/>
      <c r="D4" s="4"/>
      <c r="E4" s="4"/>
      <c r="F4" s="4"/>
      <c r="G4" s="4"/>
      <c r="H4" s="33" t="s">
        <v>443</v>
      </c>
      <c r="I4" s="33">
        <f>P9</f>
        <v>1</v>
      </c>
      <c r="J4" s="33"/>
      <c r="K4" s="4"/>
      <c r="L4" s="33"/>
      <c r="M4" s="33"/>
      <c r="N4" s="33"/>
      <c r="O4" s="33"/>
      <c r="P4" s="33"/>
      <c r="Q4" s="33"/>
      <c r="R4" s="33"/>
      <c r="S4" s="34"/>
    </row>
    <row r="5">
      <c r="A5" s="4"/>
      <c r="B5" s="4"/>
      <c r="C5" s="4"/>
      <c r="D5" s="4"/>
      <c r="E5" s="4"/>
      <c r="F5" s="4"/>
      <c r="G5" s="4"/>
      <c r="H5" s="33"/>
      <c r="I5" s="33"/>
      <c r="J5" s="33"/>
      <c r="K5" s="4"/>
      <c r="L5" s="33"/>
      <c r="M5" s="33"/>
      <c r="N5" s="33"/>
      <c r="O5" s="33"/>
      <c r="P5" s="33"/>
      <c r="Q5" s="33"/>
      <c r="R5" s="33"/>
      <c r="S5" s="34"/>
    </row>
    <row r="6">
      <c r="A6" s="4"/>
      <c r="B6" s="4"/>
      <c r="C6" s="4"/>
      <c r="D6" s="4"/>
      <c r="E6" s="4"/>
      <c r="F6" s="4"/>
      <c r="G6" s="4"/>
      <c r="H6" s="33"/>
      <c r="I6" s="33"/>
      <c r="J6" s="33"/>
      <c r="K6" s="4"/>
      <c r="L6" s="33"/>
      <c r="M6" s="33"/>
      <c r="N6" s="33"/>
      <c r="O6" s="33"/>
      <c r="P6" s="33"/>
      <c r="Q6" s="33"/>
      <c r="R6" s="33"/>
      <c r="S6" s="34"/>
    </row>
    <row r="7">
      <c r="A7" s="4"/>
      <c r="B7" s="4"/>
      <c r="C7" s="4"/>
      <c r="D7" s="4"/>
      <c r="E7" s="4"/>
      <c r="F7" s="4"/>
      <c r="G7" s="4"/>
      <c r="H7" s="35" t="s">
        <v>0</v>
      </c>
      <c r="K7" s="36" t="s">
        <v>444</v>
      </c>
      <c r="L7" s="37" t="s">
        <v>445</v>
      </c>
      <c r="T7" s="33" t="s">
        <v>446</v>
      </c>
    </row>
    <row r="8">
      <c r="A8" s="4" t="s">
        <v>447</v>
      </c>
      <c r="B8" s="4" t="s">
        <v>448</v>
      </c>
      <c r="C8" s="4" t="s">
        <v>449</v>
      </c>
      <c r="D8" s="38" t="s">
        <v>450</v>
      </c>
      <c r="E8" s="38" t="s">
        <v>451</v>
      </c>
      <c r="F8" s="38" t="s">
        <v>452</v>
      </c>
      <c r="G8" s="38" t="s">
        <v>453</v>
      </c>
      <c r="H8" s="4" t="s">
        <v>454</v>
      </c>
      <c r="I8" s="4" t="s">
        <v>455</v>
      </c>
      <c r="J8" s="4" t="s">
        <v>456</v>
      </c>
      <c r="K8" s="4" t="s">
        <v>457</v>
      </c>
      <c r="L8" s="4" t="s">
        <v>458</v>
      </c>
      <c r="M8" s="4" t="s">
        <v>454</v>
      </c>
      <c r="N8" s="4" t="s">
        <v>455</v>
      </c>
      <c r="O8" s="4" t="s">
        <v>459</v>
      </c>
      <c r="P8" s="4" t="s">
        <v>460</v>
      </c>
      <c r="Q8" s="4" t="s">
        <v>456</v>
      </c>
      <c r="R8" s="4" t="s">
        <v>457</v>
      </c>
      <c r="S8" s="39" t="s">
        <v>136</v>
      </c>
      <c r="U8" s="4" t="s">
        <v>454</v>
      </c>
      <c r="V8" s="4" t="s">
        <v>455</v>
      </c>
      <c r="W8" s="4" t="s">
        <v>459</v>
      </c>
      <c r="X8" s="4" t="s">
        <v>460</v>
      </c>
      <c r="Y8" s="4" t="s">
        <v>456</v>
      </c>
      <c r="Z8" s="4" t="s">
        <v>457</v>
      </c>
      <c r="AA8" s="39" t="s">
        <v>136</v>
      </c>
    </row>
    <row r="9">
      <c r="A9" s="4" t="s">
        <v>444</v>
      </c>
      <c r="B9" s="3">
        <f t="shared" ref="B9:G9" si="1">SUM(B10:B37)</f>
        <v>115</v>
      </c>
      <c r="C9" s="3">
        <f t="shared" si="1"/>
        <v>83</v>
      </c>
      <c r="D9" s="3">
        <f t="shared" si="1"/>
        <v>30</v>
      </c>
      <c r="E9" s="3">
        <f t="shared" si="1"/>
        <v>30</v>
      </c>
      <c r="F9" s="3">
        <f t="shared" si="1"/>
        <v>24</v>
      </c>
      <c r="G9" s="3">
        <f t="shared" si="1"/>
        <v>14</v>
      </c>
      <c r="H9" s="3">
        <f t="shared" ref="H9:K9" si="2">SUM(H10:H39)</f>
        <v>26</v>
      </c>
      <c r="I9" s="3">
        <f t="shared" si="2"/>
        <v>5</v>
      </c>
      <c r="J9" s="3">
        <f t="shared" si="2"/>
        <v>16</v>
      </c>
      <c r="K9" s="3">
        <f t="shared" si="2"/>
        <v>99</v>
      </c>
      <c r="M9" s="3">
        <f t="shared" ref="M9:R9" si="3">SUM(M10:M39)</f>
        <v>18</v>
      </c>
      <c r="N9" s="3">
        <f t="shared" si="3"/>
        <v>4</v>
      </c>
      <c r="O9" s="3">
        <f t="shared" si="3"/>
        <v>2</v>
      </c>
      <c r="P9" s="3">
        <f t="shared" si="3"/>
        <v>1</v>
      </c>
      <c r="Q9" s="3">
        <f t="shared" si="3"/>
        <v>0</v>
      </c>
      <c r="R9" s="3">
        <f t="shared" si="3"/>
        <v>98</v>
      </c>
      <c r="S9" s="40"/>
      <c r="U9" s="3">
        <f t="shared" ref="U9:V9" si="4">SUM(U10:U39)</f>
        <v>19</v>
      </c>
      <c r="V9" s="3">
        <f t="shared" si="4"/>
        <v>6</v>
      </c>
    </row>
    <row r="10">
      <c r="A10" s="4" t="s">
        <v>4</v>
      </c>
      <c r="B10" s="4">
        <v>12.0</v>
      </c>
      <c r="C10" s="4">
        <v>4.0</v>
      </c>
      <c r="D10" s="4">
        <v>2.0</v>
      </c>
      <c r="E10" s="4">
        <v>4.0</v>
      </c>
      <c r="F10" s="4">
        <v>4.0</v>
      </c>
      <c r="K10" s="3">
        <f t="shared" ref="K10:K39" si="5">C10+J10</f>
        <v>4</v>
      </c>
      <c r="R10" s="3">
        <f t="shared" ref="R10:R39" si="6">K10+Q10-P10</f>
        <v>4</v>
      </c>
      <c r="S10" s="40"/>
      <c r="T10" s="41"/>
      <c r="U10" s="4">
        <v>2.0</v>
      </c>
    </row>
    <row r="11">
      <c r="A11" s="4" t="s">
        <v>10</v>
      </c>
      <c r="B11" s="4">
        <v>4.0</v>
      </c>
      <c r="C11" s="4">
        <v>4.0</v>
      </c>
      <c r="G11" s="4">
        <v>2.0</v>
      </c>
      <c r="H11" s="4">
        <v>2.0</v>
      </c>
      <c r="I11" s="4">
        <v>2.0</v>
      </c>
      <c r="J11" s="4">
        <v>1.0</v>
      </c>
      <c r="K11" s="3">
        <f t="shared" si="5"/>
        <v>5</v>
      </c>
      <c r="L11" s="42" t="s">
        <v>461</v>
      </c>
      <c r="N11" s="4">
        <v>2.0</v>
      </c>
      <c r="O11" s="4">
        <v>2.0</v>
      </c>
      <c r="R11" s="3">
        <f t="shared" si="6"/>
        <v>5</v>
      </c>
      <c r="S11" s="39" t="s">
        <v>462</v>
      </c>
      <c r="T11" s="36" t="s">
        <v>461</v>
      </c>
      <c r="U11" s="4">
        <v>4.0</v>
      </c>
    </row>
    <row r="12">
      <c r="A12" s="4" t="s">
        <v>18</v>
      </c>
      <c r="B12" s="4">
        <v>8.0</v>
      </c>
      <c r="C12" s="4">
        <v>4.0</v>
      </c>
      <c r="D12" s="4">
        <v>4.0</v>
      </c>
      <c r="E12" s="4">
        <v>4.0</v>
      </c>
      <c r="J12" s="4">
        <v>2.0</v>
      </c>
      <c r="K12" s="3">
        <f t="shared" si="5"/>
        <v>6</v>
      </c>
      <c r="L12" s="41"/>
      <c r="M12" s="4">
        <v>5.0</v>
      </c>
      <c r="R12" s="3">
        <f t="shared" si="6"/>
        <v>6</v>
      </c>
      <c r="S12" s="40"/>
    </row>
    <row r="13">
      <c r="A13" s="4" t="s">
        <v>23</v>
      </c>
      <c r="B13" s="4">
        <v>12.0</v>
      </c>
      <c r="C13" s="4">
        <v>10.0</v>
      </c>
      <c r="D13" s="4">
        <v>2.0</v>
      </c>
      <c r="E13" s="4">
        <v>2.0</v>
      </c>
      <c r="F13" s="4">
        <v>4.0</v>
      </c>
      <c r="G13" s="4">
        <v>2.0</v>
      </c>
      <c r="H13" s="4">
        <v>1.0</v>
      </c>
      <c r="I13" s="4">
        <v>1.0</v>
      </c>
      <c r="J13" s="4">
        <v>3.0</v>
      </c>
      <c r="K13" s="3">
        <f t="shared" si="5"/>
        <v>13</v>
      </c>
      <c r="L13" s="42" t="s">
        <v>31</v>
      </c>
      <c r="R13" s="3">
        <f t="shared" si="6"/>
        <v>13</v>
      </c>
      <c r="S13" s="40"/>
      <c r="T13" s="41"/>
      <c r="U13" s="4">
        <v>2.0</v>
      </c>
      <c r="V13" s="4">
        <v>1.0</v>
      </c>
    </row>
    <row r="14">
      <c r="A14" s="4" t="s">
        <v>35</v>
      </c>
      <c r="B14" s="4">
        <v>4.0</v>
      </c>
      <c r="C14" s="4">
        <v>4.0</v>
      </c>
      <c r="D14" s="4">
        <v>2.0</v>
      </c>
      <c r="E14" s="4">
        <v>2.0</v>
      </c>
      <c r="F14" s="4">
        <v>2.0</v>
      </c>
      <c r="J14" s="4">
        <v>1.0</v>
      </c>
      <c r="K14" s="3">
        <f t="shared" si="5"/>
        <v>5</v>
      </c>
      <c r="L14" s="41"/>
      <c r="R14" s="3">
        <f t="shared" si="6"/>
        <v>5</v>
      </c>
      <c r="S14" s="40"/>
      <c r="T14" s="41"/>
      <c r="U14" s="4">
        <v>3.0</v>
      </c>
    </row>
    <row r="15">
      <c r="A15" s="4" t="s">
        <v>40</v>
      </c>
      <c r="B15" s="4">
        <v>8.0</v>
      </c>
      <c r="C15" s="4">
        <v>6.0</v>
      </c>
      <c r="D15" s="4">
        <v>2.0</v>
      </c>
      <c r="E15" s="4">
        <v>2.0</v>
      </c>
      <c r="F15" s="4">
        <v>2.0</v>
      </c>
      <c r="G15" s="4">
        <v>2.0</v>
      </c>
      <c r="H15" s="4">
        <v>3.0</v>
      </c>
      <c r="J15" s="4">
        <v>2.0</v>
      </c>
      <c r="K15" s="3">
        <f t="shared" si="5"/>
        <v>8</v>
      </c>
      <c r="R15" s="3">
        <f t="shared" si="6"/>
        <v>8</v>
      </c>
      <c r="S15" s="40"/>
      <c r="T15" s="41"/>
    </row>
    <row r="16">
      <c r="A16" s="4" t="s">
        <v>47</v>
      </c>
      <c r="B16" s="4">
        <v>8.0</v>
      </c>
      <c r="C16" s="4">
        <v>5.0</v>
      </c>
      <c r="D16" s="4">
        <v>2.0</v>
      </c>
      <c r="E16" s="4">
        <v>2.0</v>
      </c>
      <c r="F16" s="4">
        <v>2.0</v>
      </c>
      <c r="G16" s="4">
        <v>2.0</v>
      </c>
      <c r="H16" s="4">
        <v>3.0</v>
      </c>
      <c r="J16" s="4">
        <v>2.0</v>
      </c>
      <c r="K16" s="3">
        <f t="shared" si="5"/>
        <v>7</v>
      </c>
      <c r="M16" s="4">
        <v>1.0</v>
      </c>
      <c r="R16" s="3">
        <f t="shared" si="6"/>
        <v>7</v>
      </c>
      <c r="S16" s="40"/>
      <c r="V16" s="4">
        <v>1.0</v>
      </c>
    </row>
    <row r="17">
      <c r="A17" s="4" t="s">
        <v>53</v>
      </c>
      <c r="B17" s="4">
        <v>4.0</v>
      </c>
      <c r="C17" s="4">
        <v>2.0</v>
      </c>
      <c r="F17" s="4">
        <v>2.0</v>
      </c>
      <c r="H17" s="4">
        <v>1.0</v>
      </c>
      <c r="J17" s="4">
        <v>1.0</v>
      </c>
      <c r="K17" s="3">
        <f t="shared" si="5"/>
        <v>3</v>
      </c>
      <c r="R17" s="3">
        <f t="shared" si="6"/>
        <v>3</v>
      </c>
      <c r="S17" s="40"/>
    </row>
    <row r="18">
      <c r="A18" s="4" t="s">
        <v>56</v>
      </c>
      <c r="B18" s="4">
        <v>6.0</v>
      </c>
      <c r="C18" s="4">
        <v>5.0</v>
      </c>
      <c r="D18" s="4">
        <v>1.0</v>
      </c>
      <c r="E18" s="4">
        <v>2.0</v>
      </c>
      <c r="F18" s="4">
        <v>2.0</v>
      </c>
      <c r="G18" s="4">
        <v>1.0</v>
      </c>
      <c r="H18" s="4">
        <v>2.0</v>
      </c>
      <c r="I18" s="4">
        <v>1.0</v>
      </c>
      <c r="J18" s="4"/>
      <c r="K18" s="3">
        <f t="shared" si="5"/>
        <v>5</v>
      </c>
      <c r="L18" s="42" t="s">
        <v>58</v>
      </c>
      <c r="R18" s="3">
        <f t="shared" si="6"/>
        <v>5</v>
      </c>
      <c r="S18" s="39"/>
      <c r="T18" s="36" t="s">
        <v>57</v>
      </c>
      <c r="U18" s="4">
        <v>3.0</v>
      </c>
      <c r="V18" s="4">
        <v>3.0</v>
      </c>
      <c r="X18" s="4">
        <v>1.0</v>
      </c>
    </row>
    <row r="19">
      <c r="A19" s="4" t="s">
        <v>63</v>
      </c>
      <c r="B19" s="4">
        <v>3.0</v>
      </c>
      <c r="C19" s="4">
        <v>3.0</v>
      </c>
      <c r="G19" s="4">
        <v>1.0</v>
      </c>
      <c r="H19" s="4">
        <v>1.0</v>
      </c>
      <c r="I19" s="4">
        <v>1.0</v>
      </c>
      <c r="J19" s="4"/>
      <c r="K19" s="3">
        <f t="shared" si="5"/>
        <v>3</v>
      </c>
      <c r="L19" s="42" t="s">
        <v>64</v>
      </c>
      <c r="N19" s="4">
        <v>1.0</v>
      </c>
      <c r="P19" s="4">
        <v>1.0</v>
      </c>
      <c r="R19" s="3">
        <f t="shared" si="6"/>
        <v>2</v>
      </c>
      <c r="S19" s="39" t="s">
        <v>463</v>
      </c>
    </row>
    <row r="20">
      <c r="A20" s="4" t="s">
        <v>67</v>
      </c>
      <c r="B20" s="4">
        <v>3.0</v>
      </c>
      <c r="C20" s="4">
        <v>2.0</v>
      </c>
      <c r="D20" s="4">
        <v>1.0</v>
      </c>
      <c r="K20" s="3">
        <f t="shared" si="5"/>
        <v>2</v>
      </c>
      <c r="R20" s="3">
        <f t="shared" si="6"/>
        <v>2</v>
      </c>
      <c r="S20" s="40"/>
      <c r="T20" s="41"/>
    </row>
    <row r="21">
      <c r="A21" s="4" t="s">
        <v>70</v>
      </c>
      <c r="B21" s="4">
        <v>3.0</v>
      </c>
      <c r="C21" s="4">
        <v>2.0</v>
      </c>
      <c r="D21" s="4">
        <v>1.0</v>
      </c>
      <c r="E21" s="4">
        <v>2.0</v>
      </c>
      <c r="F21" s="4">
        <v>2.0</v>
      </c>
      <c r="H21" s="4">
        <v>1.0</v>
      </c>
      <c r="K21" s="3">
        <f t="shared" si="5"/>
        <v>2</v>
      </c>
      <c r="R21" s="3">
        <f t="shared" si="6"/>
        <v>2</v>
      </c>
      <c r="S21" s="40"/>
    </row>
    <row r="22">
      <c r="A22" s="4" t="s">
        <v>73</v>
      </c>
      <c r="B22" s="4">
        <v>6.0</v>
      </c>
      <c r="C22" s="4">
        <v>4.0</v>
      </c>
      <c r="D22" s="4">
        <v>1.0</v>
      </c>
      <c r="E22" s="4">
        <v>2.0</v>
      </c>
      <c r="F22" s="4">
        <v>2.0</v>
      </c>
      <c r="G22" s="4">
        <v>1.0</v>
      </c>
      <c r="H22" s="4">
        <v>2.0</v>
      </c>
      <c r="K22" s="3">
        <f t="shared" si="5"/>
        <v>4</v>
      </c>
      <c r="R22" s="3">
        <f t="shared" si="6"/>
        <v>4</v>
      </c>
      <c r="S22" s="40"/>
      <c r="T22" s="41"/>
      <c r="U22" s="4">
        <v>2.0</v>
      </c>
    </row>
    <row r="23">
      <c r="A23" s="4" t="s">
        <v>78</v>
      </c>
      <c r="B23" s="4">
        <v>6.0</v>
      </c>
      <c r="C23" s="4">
        <v>6.0</v>
      </c>
      <c r="G23" s="4">
        <v>2.0</v>
      </c>
      <c r="H23" s="4">
        <v>4.0</v>
      </c>
      <c r="K23" s="3">
        <f t="shared" si="5"/>
        <v>6</v>
      </c>
      <c r="R23" s="3">
        <f t="shared" si="6"/>
        <v>6</v>
      </c>
      <c r="S23" s="40"/>
    </row>
    <row r="24">
      <c r="A24" s="4" t="s">
        <v>85</v>
      </c>
      <c r="B24" s="4">
        <v>3.0</v>
      </c>
      <c r="C24" s="4">
        <v>2.0</v>
      </c>
      <c r="D24" s="4">
        <v>1.0</v>
      </c>
      <c r="E24" s="4">
        <v>2.0</v>
      </c>
      <c r="K24" s="3">
        <f t="shared" si="5"/>
        <v>2</v>
      </c>
      <c r="L24" s="41"/>
      <c r="M24" s="4">
        <v>1.0</v>
      </c>
      <c r="R24" s="3">
        <f t="shared" si="6"/>
        <v>2</v>
      </c>
      <c r="S24" s="40"/>
    </row>
    <row r="25">
      <c r="A25" s="4" t="s">
        <v>88</v>
      </c>
      <c r="B25" s="4">
        <v>3.0</v>
      </c>
      <c r="C25" s="4">
        <v>2.0</v>
      </c>
      <c r="D25" s="4">
        <v>1.0</v>
      </c>
      <c r="E25" s="4">
        <v>2.0</v>
      </c>
      <c r="K25" s="3">
        <f t="shared" si="5"/>
        <v>2</v>
      </c>
      <c r="L25" s="41"/>
      <c r="M25" s="4">
        <v>1.0</v>
      </c>
      <c r="R25" s="3">
        <f t="shared" si="6"/>
        <v>2</v>
      </c>
      <c r="S25" s="40"/>
    </row>
    <row r="26">
      <c r="A26" s="4" t="s">
        <v>91</v>
      </c>
      <c r="B26" s="4">
        <v>3.0</v>
      </c>
      <c r="C26" s="4">
        <v>2.0</v>
      </c>
      <c r="D26" s="4">
        <v>1.0</v>
      </c>
      <c r="E26" s="4">
        <v>2.0</v>
      </c>
      <c r="F26" s="4">
        <v>2.0</v>
      </c>
      <c r="K26" s="3">
        <f t="shared" si="5"/>
        <v>2</v>
      </c>
      <c r="L26" s="41"/>
      <c r="R26" s="3">
        <f t="shared" si="6"/>
        <v>2</v>
      </c>
      <c r="S26" s="40"/>
      <c r="T26" s="41"/>
      <c r="U26" s="4">
        <v>2.0</v>
      </c>
      <c r="V26" s="4">
        <v>1.0</v>
      </c>
    </row>
    <row r="27">
      <c r="A27" s="4" t="s">
        <v>95</v>
      </c>
      <c r="B27" s="4">
        <v>4.0</v>
      </c>
      <c r="C27" s="4">
        <v>3.0</v>
      </c>
      <c r="D27" s="4">
        <v>1.0</v>
      </c>
      <c r="K27" s="3">
        <f t="shared" si="5"/>
        <v>3</v>
      </c>
      <c r="L27" s="41"/>
      <c r="M27" s="4">
        <v>1.0</v>
      </c>
      <c r="R27" s="3">
        <f t="shared" si="6"/>
        <v>3</v>
      </c>
      <c r="S27" s="40"/>
    </row>
    <row r="28">
      <c r="A28" s="4" t="s">
        <v>97</v>
      </c>
      <c r="B28" s="4">
        <v>2.0</v>
      </c>
      <c r="C28" s="4">
        <v>2.0</v>
      </c>
      <c r="G28" s="4">
        <v>1.0</v>
      </c>
      <c r="H28" s="4">
        <v>1.0</v>
      </c>
      <c r="K28" s="3">
        <f t="shared" si="5"/>
        <v>2</v>
      </c>
      <c r="R28" s="3">
        <f t="shared" si="6"/>
        <v>2</v>
      </c>
      <c r="S28" s="40"/>
      <c r="T28" s="41"/>
      <c r="U28" s="4">
        <v>1.0</v>
      </c>
    </row>
    <row r="29">
      <c r="A29" s="4" t="s">
        <v>100</v>
      </c>
      <c r="B29" s="4">
        <v>2.0</v>
      </c>
      <c r="C29" s="4">
        <v>1.0</v>
      </c>
      <c r="D29" s="4">
        <v>1.0</v>
      </c>
      <c r="E29" s="4">
        <v>1.0</v>
      </c>
      <c r="H29" s="4">
        <v>1.0</v>
      </c>
      <c r="K29" s="3">
        <f t="shared" si="5"/>
        <v>1</v>
      </c>
      <c r="R29" s="3">
        <f t="shared" si="6"/>
        <v>1</v>
      </c>
      <c r="S29" s="40"/>
      <c r="T29" s="41"/>
    </row>
    <row r="30">
      <c r="A30" s="14" t="s">
        <v>102</v>
      </c>
      <c r="B30" s="4">
        <v>1.0</v>
      </c>
      <c r="C30" s="4">
        <v>1.0</v>
      </c>
      <c r="D30" s="15"/>
      <c r="E30" s="15"/>
      <c r="F30" s="15"/>
      <c r="G30" s="15"/>
      <c r="H30" s="4">
        <v>1.0</v>
      </c>
      <c r="K30" s="3">
        <f t="shared" si="5"/>
        <v>1</v>
      </c>
      <c r="R30" s="3">
        <f t="shared" si="6"/>
        <v>1</v>
      </c>
      <c r="S30" s="40"/>
    </row>
    <row r="31">
      <c r="A31" s="14" t="s">
        <v>104</v>
      </c>
      <c r="B31" s="4">
        <v>1.0</v>
      </c>
      <c r="C31" s="4">
        <v>1.0</v>
      </c>
      <c r="D31" s="15"/>
      <c r="E31" s="15"/>
      <c r="F31" s="15"/>
      <c r="G31" s="15"/>
      <c r="H31" s="4">
        <v>1.0</v>
      </c>
      <c r="K31" s="3">
        <f t="shared" si="5"/>
        <v>1</v>
      </c>
      <c r="R31" s="3">
        <f t="shared" si="6"/>
        <v>1</v>
      </c>
      <c r="S31" s="40"/>
    </row>
    <row r="32">
      <c r="A32" s="4" t="s">
        <v>106</v>
      </c>
      <c r="B32" s="4">
        <v>3.0</v>
      </c>
      <c r="C32" s="4">
        <v>2.0</v>
      </c>
      <c r="D32" s="4">
        <v>1.0</v>
      </c>
      <c r="E32" s="4">
        <v>1.0</v>
      </c>
      <c r="H32" s="4">
        <v>1.0</v>
      </c>
      <c r="K32" s="3">
        <f t="shared" si="5"/>
        <v>2</v>
      </c>
      <c r="M32" s="4">
        <v>1.0</v>
      </c>
      <c r="R32" s="3">
        <f t="shared" si="6"/>
        <v>2</v>
      </c>
      <c r="S32" s="40"/>
      <c r="T32" s="41"/>
    </row>
    <row r="33">
      <c r="A33" s="4" t="s">
        <v>109</v>
      </c>
      <c r="B33" s="4">
        <v>1.0</v>
      </c>
      <c r="C33" s="4">
        <v>1.0</v>
      </c>
      <c r="D33" s="4">
        <v>1.0</v>
      </c>
      <c r="K33" s="3">
        <f t="shared" si="5"/>
        <v>1</v>
      </c>
      <c r="L33" s="41"/>
      <c r="M33" s="4">
        <v>1.0</v>
      </c>
      <c r="R33" s="3">
        <f t="shared" si="6"/>
        <v>1</v>
      </c>
      <c r="S33" s="40"/>
    </row>
    <row r="34">
      <c r="A34" s="4" t="s">
        <v>111</v>
      </c>
      <c r="B34" s="4">
        <v>4.0</v>
      </c>
      <c r="C34" s="4">
        <v>4.0</v>
      </c>
      <c r="D34" s="4">
        <v>4.0</v>
      </c>
      <c r="K34" s="3">
        <f t="shared" si="5"/>
        <v>4</v>
      </c>
      <c r="M34" s="4">
        <v>4.0</v>
      </c>
      <c r="R34" s="3">
        <f t="shared" si="6"/>
        <v>4</v>
      </c>
      <c r="S34" s="40"/>
    </row>
    <row r="35">
      <c r="A35" s="4" t="s">
        <v>283</v>
      </c>
      <c r="K35" s="3">
        <f t="shared" si="5"/>
        <v>0</v>
      </c>
      <c r="R35" s="3">
        <f t="shared" si="6"/>
        <v>0</v>
      </c>
      <c r="S35" s="40"/>
    </row>
    <row r="36">
      <c r="A36" s="4" t="s">
        <v>284</v>
      </c>
      <c r="K36" s="3">
        <f t="shared" si="5"/>
        <v>0</v>
      </c>
      <c r="R36" s="3">
        <f t="shared" si="6"/>
        <v>0</v>
      </c>
      <c r="S36" s="40"/>
    </row>
    <row r="37">
      <c r="A37" s="4" t="s">
        <v>116</v>
      </c>
      <c r="B37" s="4">
        <v>1.0</v>
      </c>
      <c r="C37" s="4">
        <v>1.0</v>
      </c>
      <c r="D37" s="4">
        <v>1.0</v>
      </c>
      <c r="H37" s="4">
        <v>1.0</v>
      </c>
      <c r="K37" s="3">
        <f t="shared" si="5"/>
        <v>1</v>
      </c>
      <c r="R37" s="3">
        <f t="shared" si="6"/>
        <v>1</v>
      </c>
      <c r="S37" s="40"/>
    </row>
    <row r="38">
      <c r="A38" s="4" t="s">
        <v>118</v>
      </c>
      <c r="J38" s="4">
        <v>3.0</v>
      </c>
      <c r="K38" s="3">
        <f t="shared" si="5"/>
        <v>3</v>
      </c>
      <c r="L38" s="41"/>
      <c r="M38" s="4">
        <v>2.0</v>
      </c>
      <c r="N38" s="4">
        <v>1.0</v>
      </c>
      <c r="R38" s="3">
        <f t="shared" si="6"/>
        <v>3</v>
      </c>
      <c r="S38" s="40"/>
      <c r="T38" s="36" t="s">
        <v>119</v>
      </c>
    </row>
    <row r="39">
      <c r="A39" s="4" t="s">
        <v>122</v>
      </c>
      <c r="J39" s="4">
        <v>1.0</v>
      </c>
      <c r="K39" s="3">
        <f t="shared" si="5"/>
        <v>1</v>
      </c>
      <c r="L39" s="41"/>
      <c r="M39" s="4">
        <v>1.0</v>
      </c>
      <c r="R39" s="3">
        <f t="shared" si="6"/>
        <v>1</v>
      </c>
      <c r="S39" s="40"/>
      <c r="T39" s="41"/>
    </row>
    <row r="40">
      <c r="S40" s="40"/>
    </row>
    <row r="41">
      <c r="S41" s="40"/>
    </row>
    <row r="42">
      <c r="S42" s="40"/>
    </row>
    <row r="43">
      <c r="S43" s="40"/>
    </row>
    <row r="44">
      <c r="S44" s="40"/>
    </row>
    <row r="45">
      <c r="S45" s="40"/>
    </row>
    <row r="46">
      <c r="J46" s="4"/>
      <c r="K46" s="4"/>
      <c r="L46" s="36" t="s">
        <v>464</v>
      </c>
      <c r="S46" s="40"/>
    </row>
    <row r="47">
      <c r="J47" s="4"/>
      <c r="K47" s="4"/>
      <c r="L47" s="42" t="s">
        <v>465</v>
      </c>
      <c r="S47" s="40"/>
    </row>
    <row r="48">
      <c r="S48" s="40"/>
    </row>
    <row r="49">
      <c r="S49" s="40"/>
    </row>
    <row r="50">
      <c r="S50" s="40"/>
    </row>
    <row r="51">
      <c r="S51" s="40"/>
    </row>
    <row r="52">
      <c r="S52" s="40"/>
    </row>
    <row r="53">
      <c r="S53" s="40"/>
    </row>
    <row r="54">
      <c r="S54" s="40"/>
    </row>
    <row r="55">
      <c r="S55" s="40"/>
    </row>
    <row r="56">
      <c r="S56" s="40"/>
    </row>
    <row r="57">
      <c r="S57" s="40"/>
    </row>
    <row r="58">
      <c r="S58" s="40"/>
    </row>
    <row r="59">
      <c r="S59" s="40"/>
    </row>
    <row r="60">
      <c r="S60" s="40"/>
    </row>
    <row r="61">
      <c r="S61" s="40"/>
    </row>
    <row r="62">
      <c r="S62" s="40"/>
    </row>
    <row r="63">
      <c r="S63" s="40"/>
    </row>
    <row r="64">
      <c r="S64" s="40"/>
    </row>
    <row r="65">
      <c r="S65" s="40"/>
    </row>
    <row r="66">
      <c r="S66" s="40"/>
    </row>
    <row r="67">
      <c r="S67" s="40"/>
    </row>
    <row r="68">
      <c r="S68" s="40"/>
    </row>
    <row r="69">
      <c r="S69" s="40"/>
    </row>
    <row r="70">
      <c r="S70" s="40"/>
    </row>
    <row r="71">
      <c r="S71" s="40"/>
    </row>
    <row r="72">
      <c r="S72" s="40"/>
    </row>
    <row r="73">
      <c r="S73" s="40"/>
    </row>
    <row r="74">
      <c r="S74" s="40"/>
    </row>
    <row r="75">
      <c r="S75" s="40"/>
    </row>
    <row r="76">
      <c r="S76" s="40"/>
    </row>
    <row r="77">
      <c r="S77" s="40"/>
    </row>
    <row r="78">
      <c r="S78" s="40"/>
    </row>
    <row r="79">
      <c r="S79" s="40"/>
    </row>
    <row r="80">
      <c r="S80" s="40"/>
    </row>
    <row r="81">
      <c r="S81" s="40"/>
    </row>
    <row r="82">
      <c r="S82" s="40"/>
    </row>
    <row r="83">
      <c r="S83" s="40"/>
    </row>
    <row r="84">
      <c r="S84" s="40"/>
    </row>
    <row r="85">
      <c r="S85" s="40"/>
    </row>
    <row r="86">
      <c r="S86" s="40"/>
    </row>
    <row r="87">
      <c r="S87" s="40"/>
    </row>
    <row r="88">
      <c r="S88" s="40"/>
    </row>
    <row r="89">
      <c r="S89" s="40"/>
    </row>
    <row r="90">
      <c r="S90" s="40"/>
    </row>
    <row r="91">
      <c r="S91" s="40"/>
    </row>
    <row r="92">
      <c r="S92" s="40"/>
    </row>
    <row r="93">
      <c r="S93" s="40"/>
    </row>
    <row r="94">
      <c r="S94" s="40"/>
    </row>
    <row r="95">
      <c r="S95" s="40"/>
    </row>
    <row r="96">
      <c r="S96" s="40"/>
    </row>
    <row r="97">
      <c r="S97" s="40"/>
    </row>
    <row r="98">
      <c r="S98" s="40"/>
    </row>
    <row r="99">
      <c r="S99" s="40"/>
    </row>
    <row r="100">
      <c r="S100" s="40"/>
    </row>
    <row r="101">
      <c r="S101" s="40"/>
    </row>
    <row r="102">
      <c r="S102" s="40"/>
    </row>
    <row r="103">
      <c r="S103" s="40"/>
    </row>
    <row r="104">
      <c r="S104" s="40"/>
    </row>
    <row r="105">
      <c r="S105" s="40"/>
    </row>
    <row r="106">
      <c r="S106" s="40"/>
    </row>
    <row r="107">
      <c r="S107" s="40"/>
    </row>
    <row r="108">
      <c r="S108" s="40"/>
    </row>
    <row r="109">
      <c r="S109" s="40"/>
    </row>
    <row r="110">
      <c r="S110" s="40"/>
    </row>
    <row r="111">
      <c r="S111" s="40"/>
    </row>
    <row r="112">
      <c r="S112" s="40"/>
    </row>
    <row r="113">
      <c r="S113" s="40"/>
    </row>
    <row r="114">
      <c r="S114" s="40"/>
    </row>
    <row r="115">
      <c r="S115" s="40"/>
    </row>
    <row r="116">
      <c r="S116" s="40"/>
    </row>
    <row r="117">
      <c r="S117" s="40"/>
    </row>
    <row r="118">
      <c r="S118" s="40"/>
    </row>
    <row r="119">
      <c r="S119" s="40"/>
    </row>
    <row r="120">
      <c r="S120" s="40"/>
    </row>
    <row r="121">
      <c r="S121" s="40"/>
    </row>
    <row r="122">
      <c r="S122" s="40"/>
    </row>
    <row r="123">
      <c r="S123" s="40"/>
    </row>
    <row r="124">
      <c r="S124" s="40"/>
    </row>
    <row r="125">
      <c r="S125" s="40"/>
    </row>
    <row r="126">
      <c r="S126" s="40"/>
    </row>
    <row r="127">
      <c r="S127" s="40"/>
    </row>
    <row r="128">
      <c r="S128" s="40"/>
    </row>
    <row r="129">
      <c r="S129" s="40"/>
    </row>
    <row r="130">
      <c r="S130" s="40"/>
    </row>
    <row r="131">
      <c r="S131" s="40"/>
    </row>
    <row r="132">
      <c r="S132" s="40"/>
    </row>
    <row r="133">
      <c r="S133" s="40"/>
    </row>
    <row r="134">
      <c r="S134" s="40"/>
    </row>
    <row r="135">
      <c r="S135" s="40"/>
    </row>
    <row r="136">
      <c r="S136" s="40"/>
    </row>
    <row r="137">
      <c r="S137" s="40"/>
    </row>
    <row r="138">
      <c r="S138" s="40"/>
    </row>
    <row r="139">
      <c r="S139" s="40"/>
    </row>
    <row r="140">
      <c r="S140" s="40"/>
    </row>
    <row r="141">
      <c r="S141" s="40"/>
    </row>
    <row r="142">
      <c r="S142" s="40"/>
    </row>
    <row r="143">
      <c r="S143" s="40"/>
    </row>
    <row r="144">
      <c r="S144" s="40"/>
    </row>
    <row r="145">
      <c r="S145" s="40"/>
    </row>
    <row r="146">
      <c r="S146" s="40"/>
    </row>
    <row r="147">
      <c r="S147" s="40"/>
    </row>
    <row r="148">
      <c r="S148" s="40"/>
    </row>
    <row r="149">
      <c r="S149" s="40"/>
    </row>
    <row r="150">
      <c r="S150" s="40"/>
    </row>
    <row r="151">
      <c r="S151" s="40"/>
    </row>
    <row r="152">
      <c r="S152" s="40"/>
    </row>
    <row r="153">
      <c r="S153" s="40"/>
    </row>
    <row r="154">
      <c r="S154" s="40"/>
    </row>
    <row r="155">
      <c r="S155" s="40"/>
    </row>
    <row r="156">
      <c r="S156" s="40"/>
    </row>
    <row r="157">
      <c r="S157" s="40"/>
    </row>
    <row r="158">
      <c r="S158" s="40"/>
    </row>
    <row r="159">
      <c r="S159" s="40"/>
    </row>
    <row r="160">
      <c r="S160" s="40"/>
    </row>
    <row r="161">
      <c r="S161" s="40"/>
    </row>
    <row r="162">
      <c r="S162" s="40"/>
    </row>
    <row r="163">
      <c r="S163" s="40"/>
    </row>
    <row r="164">
      <c r="S164" s="40"/>
    </row>
    <row r="165">
      <c r="S165" s="40"/>
    </row>
    <row r="166">
      <c r="S166" s="40"/>
    </row>
    <row r="167">
      <c r="S167" s="40"/>
    </row>
    <row r="168">
      <c r="S168" s="40"/>
    </row>
    <row r="169">
      <c r="S169" s="40"/>
    </row>
    <row r="170">
      <c r="S170" s="40"/>
    </row>
    <row r="171">
      <c r="S171" s="40"/>
    </row>
    <row r="172">
      <c r="S172" s="40"/>
    </row>
    <row r="173">
      <c r="S173" s="40"/>
    </row>
    <row r="174">
      <c r="S174" s="40"/>
    </row>
    <row r="175">
      <c r="S175" s="40"/>
    </row>
    <row r="176">
      <c r="S176" s="40"/>
    </row>
    <row r="177">
      <c r="S177" s="40"/>
    </row>
    <row r="178">
      <c r="S178" s="40"/>
    </row>
    <row r="179">
      <c r="S179" s="40"/>
    </row>
    <row r="180">
      <c r="S180" s="40"/>
    </row>
    <row r="181">
      <c r="S181" s="40"/>
    </row>
    <row r="182">
      <c r="S182" s="40"/>
    </row>
    <row r="183">
      <c r="S183" s="40"/>
    </row>
    <row r="184">
      <c r="S184" s="40"/>
    </row>
    <row r="185">
      <c r="S185" s="40"/>
    </row>
    <row r="186">
      <c r="S186" s="40"/>
    </row>
    <row r="187">
      <c r="S187" s="40"/>
    </row>
    <row r="188">
      <c r="S188" s="40"/>
    </row>
    <row r="189">
      <c r="S189" s="40"/>
    </row>
    <row r="190">
      <c r="S190" s="40"/>
    </row>
    <row r="191">
      <c r="S191" s="40"/>
    </row>
    <row r="192">
      <c r="S192" s="40"/>
    </row>
    <row r="193">
      <c r="S193" s="40"/>
    </row>
    <row r="194">
      <c r="S194" s="40"/>
    </row>
    <row r="195">
      <c r="S195" s="40"/>
    </row>
    <row r="196">
      <c r="S196" s="40"/>
    </row>
    <row r="197">
      <c r="S197" s="40"/>
    </row>
    <row r="198">
      <c r="S198" s="40"/>
    </row>
    <row r="199">
      <c r="S199" s="40"/>
    </row>
    <row r="200">
      <c r="S200" s="40"/>
    </row>
    <row r="201">
      <c r="S201" s="40"/>
    </row>
    <row r="202">
      <c r="S202" s="40"/>
    </row>
    <row r="203">
      <c r="S203" s="40"/>
    </row>
    <row r="204">
      <c r="S204" s="40"/>
    </row>
    <row r="205">
      <c r="S205" s="40"/>
    </row>
    <row r="206">
      <c r="S206" s="40"/>
    </row>
    <row r="207">
      <c r="S207" s="40"/>
    </row>
    <row r="208">
      <c r="S208" s="40"/>
    </row>
    <row r="209">
      <c r="S209" s="40"/>
    </row>
    <row r="210">
      <c r="S210" s="40"/>
    </row>
    <row r="211">
      <c r="S211" s="40"/>
    </row>
    <row r="212">
      <c r="S212" s="40"/>
    </row>
    <row r="213">
      <c r="S213" s="40"/>
    </row>
    <row r="214">
      <c r="S214" s="40"/>
    </row>
    <row r="215">
      <c r="S215" s="40"/>
    </row>
    <row r="216">
      <c r="S216" s="40"/>
    </row>
    <row r="217">
      <c r="S217" s="40"/>
    </row>
    <row r="218">
      <c r="S218" s="40"/>
    </row>
    <row r="219">
      <c r="S219" s="40"/>
    </row>
    <row r="220">
      <c r="S220" s="40"/>
    </row>
    <row r="221">
      <c r="S221" s="40"/>
    </row>
    <row r="222">
      <c r="S222" s="40"/>
    </row>
    <row r="223">
      <c r="S223" s="40"/>
    </row>
    <row r="224">
      <c r="S224" s="40"/>
    </row>
    <row r="225">
      <c r="S225" s="40"/>
    </row>
    <row r="226">
      <c r="S226" s="40"/>
    </row>
    <row r="227">
      <c r="S227" s="40"/>
    </row>
    <row r="228">
      <c r="S228" s="40"/>
    </row>
    <row r="229">
      <c r="S229" s="40"/>
    </row>
    <row r="230">
      <c r="S230" s="40"/>
    </row>
    <row r="231">
      <c r="S231" s="40"/>
    </row>
    <row r="232">
      <c r="S232" s="40"/>
    </row>
    <row r="233">
      <c r="S233" s="40"/>
    </row>
    <row r="234">
      <c r="S234" s="40"/>
    </row>
    <row r="235">
      <c r="S235" s="40"/>
    </row>
    <row r="236">
      <c r="S236" s="40"/>
    </row>
    <row r="237">
      <c r="S237" s="40"/>
    </row>
    <row r="238">
      <c r="S238" s="40"/>
    </row>
    <row r="239">
      <c r="S239" s="40"/>
    </row>
    <row r="240">
      <c r="S240" s="40"/>
    </row>
    <row r="241">
      <c r="S241" s="40"/>
    </row>
    <row r="242">
      <c r="S242" s="40"/>
    </row>
    <row r="243">
      <c r="S243" s="40"/>
    </row>
    <row r="244">
      <c r="S244" s="40"/>
    </row>
    <row r="245">
      <c r="S245" s="40"/>
    </row>
    <row r="246">
      <c r="S246" s="40"/>
    </row>
    <row r="247">
      <c r="S247" s="40"/>
    </row>
    <row r="248">
      <c r="S248" s="40"/>
    </row>
    <row r="249">
      <c r="S249" s="40"/>
    </row>
    <row r="250">
      <c r="S250" s="40"/>
    </row>
    <row r="251">
      <c r="S251" s="40"/>
    </row>
    <row r="252">
      <c r="S252" s="40"/>
    </row>
    <row r="253">
      <c r="S253" s="40"/>
    </row>
    <row r="254">
      <c r="S254" s="40"/>
    </row>
    <row r="255">
      <c r="S255" s="40"/>
    </row>
    <row r="256">
      <c r="S256" s="40"/>
    </row>
    <row r="257">
      <c r="S257" s="40"/>
    </row>
    <row r="258">
      <c r="S258" s="40"/>
    </row>
    <row r="259">
      <c r="S259" s="40"/>
    </row>
    <row r="260">
      <c r="S260" s="40"/>
    </row>
    <row r="261">
      <c r="S261" s="40"/>
    </row>
    <row r="262">
      <c r="S262" s="40"/>
    </row>
    <row r="263">
      <c r="S263" s="40"/>
    </row>
    <row r="264">
      <c r="S264" s="40"/>
    </row>
    <row r="265">
      <c r="S265" s="40"/>
    </row>
    <row r="266">
      <c r="S266" s="40"/>
    </row>
    <row r="267">
      <c r="S267" s="40"/>
    </row>
    <row r="268">
      <c r="S268" s="40"/>
    </row>
    <row r="269">
      <c r="S269" s="40"/>
    </row>
    <row r="270">
      <c r="S270" s="40"/>
    </row>
    <row r="271">
      <c r="S271" s="40"/>
    </row>
    <row r="272">
      <c r="S272" s="40"/>
    </row>
    <row r="273">
      <c r="S273" s="40"/>
    </row>
    <row r="274">
      <c r="S274" s="40"/>
    </row>
    <row r="275">
      <c r="S275" s="40"/>
    </row>
    <row r="276">
      <c r="S276" s="40"/>
    </row>
    <row r="277">
      <c r="S277" s="40"/>
    </row>
    <row r="278">
      <c r="S278" s="40"/>
    </row>
    <row r="279">
      <c r="S279" s="40"/>
    </row>
    <row r="280">
      <c r="S280" s="40"/>
    </row>
    <row r="281">
      <c r="S281" s="40"/>
    </row>
    <row r="282">
      <c r="S282" s="40"/>
    </row>
    <row r="283">
      <c r="S283" s="40"/>
    </row>
    <row r="284">
      <c r="S284" s="40"/>
    </row>
    <row r="285">
      <c r="S285" s="40"/>
    </row>
    <row r="286">
      <c r="S286" s="40"/>
    </row>
    <row r="287">
      <c r="S287" s="40"/>
    </row>
    <row r="288">
      <c r="S288" s="40"/>
    </row>
    <row r="289">
      <c r="S289" s="40"/>
    </row>
    <row r="290">
      <c r="S290" s="40"/>
    </row>
    <row r="291">
      <c r="S291" s="40"/>
    </row>
    <row r="292">
      <c r="S292" s="40"/>
    </row>
    <row r="293">
      <c r="S293" s="40"/>
    </row>
    <row r="294">
      <c r="S294" s="40"/>
    </row>
    <row r="295">
      <c r="S295" s="40"/>
    </row>
    <row r="296">
      <c r="S296" s="40"/>
    </row>
    <row r="297">
      <c r="S297" s="40"/>
    </row>
    <row r="298">
      <c r="S298" s="40"/>
    </row>
    <row r="299">
      <c r="S299" s="40"/>
    </row>
    <row r="300">
      <c r="S300" s="40"/>
    </row>
    <row r="301">
      <c r="S301" s="40"/>
    </row>
    <row r="302">
      <c r="S302" s="40"/>
    </row>
    <row r="303">
      <c r="S303" s="40"/>
    </row>
    <row r="304">
      <c r="S304" s="40"/>
    </row>
    <row r="305">
      <c r="S305" s="40"/>
    </row>
    <row r="306">
      <c r="S306" s="40"/>
    </row>
    <row r="307">
      <c r="S307" s="40"/>
    </row>
    <row r="308">
      <c r="S308" s="40"/>
    </row>
    <row r="309">
      <c r="S309" s="40"/>
    </row>
    <row r="310">
      <c r="S310" s="40"/>
    </row>
    <row r="311">
      <c r="S311" s="40"/>
    </row>
    <row r="312">
      <c r="S312" s="40"/>
    </row>
    <row r="313">
      <c r="S313" s="40"/>
    </row>
    <row r="314">
      <c r="S314" s="40"/>
    </row>
    <row r="315">
      <c r="S315" s="40"/>
    </row>
    <row r="316">
      <c r="S316" s="40"/>
    </row>
    <row r="317">
      <c r="S317" s="40"/>
    </row>
    <row r="318">
      <c r="S318" s="40"/>
    </row>
    <row r="319">
      <c r="S319" s="40"/>
    </row>
    <row r="320">
      <c r="S320" s="40"/>
    </row>
    <row r="321">
      <c r="S321" s="40"/>
    </row>
    <row r="322">
      <c r="S322" s="40"/>
    </row>
    <row r="323">
      <c r="S323" s="40"/>
    </row>
    <row r="324">
      <c r="S324" s="40"/>
    </row>
    <row r="325">
      <c r="S325" s="40"/>
    </row>
    <row r="326">
      <c r="S326" s="40"/>
    </row>
    <row r="327">
      <c r="S327" s="40"/>
    </row>
    <row r="328">
      <c r="S328" s="40"/>
    </row>
    <row r="329">
      <c r="S329" s="40"/>
    </row>
    <row r="330">
      <c r="S330" s="40"/>
    </row>
    <row r="331">
      <c r="S331" s="40"/>
    </row>
    <row r="332">
      <c r="S332" s="40"/>
    </row>
    <row r="333">
      <c r="S333" s="40"/>
    </row>
    <row r="334">
      <c r="S334" s="40"/>
    </row>
    <row r="335">
      <c r="S335" s="40"/>
    </row>
    <row r="336">
      <c r="S336" s="40"/>
    </row>
    <row r="337">
      <c r="S337" s="40"/>
    </row>
    <row r="338">
      <c r="S338" s="40"/>
    </row>
    <row r="339">
      <c r="S339" s="40"/>
    </row>
    <row r="340">
      <c r="S340" s="40"/>
    </row>
    <row r="341">
      <c r="S341" s="40"/>
    </row>
    <row r="342">
      <c r="S342" s="40"/>
    </row>
    <row r="343">
      <c r="S343" s="40"/>
    </row>
    <row r="344">
      <c r="S344" s="40"/>
    </row>
    <row r="345">
      <c r="S345" s="40"/>
    </row>
    <row r="346">
      <c r="S346" s="40"/>
    </row>
    <row r="347">
      <c r="S347" s="40"/>
    </row>
    <row r="348">
      <c r="S348" s="40"/>
    </row>
    <row r="349">
      <c r="S349" s="40"/>
    </row>
    <row r="350">
      <c r="S350" s="40"/>
    </row>
    <row r="351">
      <c r="S351" s="40"/>
    </row>
    <row r="352">
      <c r="S352" s="40"/>
    </row>
    <row r="353">
      <c r="S353" s="40"/>
    </row>
    <row r="354">
      <c r="S354" s="40"/>
    </row>
    <row r="355">
      <c r="S355" s="40"/>
    </row>
    <row r="356">
      <c r="S356" s="40"/>
    </row>
    <row r="357">
      <c r="S357" s="40"/>
    </row>
    <row r="358">
      <c r="S358" s="40"/>
    </row>
    <row r="359">
      <c r="S359" s="40"/>
    </row>
    <row r="360">
      <c r="S360" s="40"/>
    </row>
    <row r="361">
      <c r="S361" s="40"/>
    </row>
    <row r="362">
      <c r="S362" s="40"/>
    </row>
    <row r="363">
      <c r="S363" s="40"/>
    </row>
    <row r="364">
      <c r="S364" s="40"/>
    </row>
    <row r="365">
      <c r="S365" s="40"/>
    </row>
    <row r="366">
      <c r="S366" s="40"/>
    </row>
    <row r="367">
      <c r="S367" s="40"/>
    </row>
    <row r="368">
      <c r="S368" s="40"/>
    </row>
    <row r="369">
      <c r="S369" s="40"/>
    </row>
    <row r="370">
      <c r="S370" s="40"/>
    </row>
    <row r="371">
      <c r="S371" s="40"/>
    </row>
    <row r="372">
      <c r="S372" s="40"/>
    </row>
    <row r="373">
      <c r="S373" s="40"/>
    </row>
    <row r="374">
      <c r="S374" s="40"/>
    </row>
    <row r="375">
      <c r="S375" s="40"/>
    </row>
    <row r="376">
      <c r="S376" s="40"/>
    </row>
    <row r="377">
      <c r="S377" s="40"/>
    </row>
    <row r="378">
      <c r="S378" s="40"/>
    </row>
    <row r="379">
      <c r="S379" s="40"/>
    </row>
    <row r="380">
      <c r="S380" s="40"/>
    </row>
    <row r="381">
      <c r="S381" s="40"/>
    </row>
    <row r="382">
      <c r="S382" s="40"/>
    </row>
    <row r="383">
      <c r="S383" s="40"/>
    </row>
    <row r="384">
      <c r="S384" s="40"/>
    </row>
    <row r="385">
      <c r="S385" s="40"/>
    </row>
    <row r="386">
      <c r="S386" s="40"/>
    </row>
    <row r="387">
      <c r="S387" s="40"/>
    </row>
    <row r="388">
      <c r="S388" s="40"/>
    </row>
    <row r="389">
      <c r="S389" s="40"/>
    </row>
    <row r="390">
      <c r="S390" s="40"/>
    </row>
    <row r="391">
      <c r="S391" s="40"/>
    </row>
    <row r="392">
      <c r="S392" s="40"/>
    </row>
    <row r="393">
      <c r="S393" s="40"/>
    </row>
    <row r="394">
      <c r="S394" s="40"/>
    </row>
    <row r="395">
      <c r="S395" s="40"/>
    </row>
    <row r="396">
      <c r="S396" s="40"/>
    </row>
    <row r="397">
      <c r="S397" s="40"/>
    </row>
    <row r="398">
      <c r="S398" s="40"/>
    </row>
    <row r="399">
      <c r="S399" s="40"/>
    </row>
    <row r="400">
      <c r="S400" s="40"/>
    </row>
    <row r="401">
      <c r="S401" s="40"/>
    </row>
    <row r="402">
      <c r="S402" s="40"/>
    </row>
    <row r="403">
      <c r="S403" s="40"/>
    </row>
    <row r="404">
      <c r="S404" s="40"/>
    </row>
    <row r="405">
      <c r="S405" s="40"/>
    </row>
    <row r="406">
      <c r="S406" s="40"/>
    </row>
    <row r="407">
      <c r="S407" s="40"/>
    </row>
    <row r="408">
      <c r="S408" s="40"/>
    </row>
    <row r="409">
      <c r="S409" s="40"/>
    </row>
    <row r="410">
      <c r="S410" s="40"/>
    </row>
    <row r="411">
      <c r="S411" s="40"/>
    </row>
    <row r="412">
      <c r="S412" s="40"/>
    </row>
    <row r="413">
      <c r="S413" s="40"/>
    </row>
    <row r="414">
      <c r="S414" s="40"/>
    </row>
    <row r="415">
      <c r="S415" s="40"/>
    </row>
    <row r="416">
      <c r="S416" s="40"/>
    </row>
    <row r="417">
      <c r="S417" s="40"/>
    </row>
    <row r="418">
      <c r="S418" s="40"/>
    </row>
    <row r="419">
      <c r="S419" s="40"/>
    </row>
    <row r="420">
      <c r="S420" s="40"/>
    </row>
    <row r="421">
      <c r="S421" s="40"/>
    </row>
    <row r="422">
      <c r="S422" s="40"/>
    </row>
    <row r="423">
      <c r="S423" s="40"/>
    </row>
    <row r="424">
      <c r="S424" s="40"/>
    </row>
    <row r="425">
      <c r="S425" s="40"/>
    </row>
    <row r="426">
      <c r="S426" s="40"/>
    </row>
    <row r="427">
      <c r="S427" s="40"/>
    </row>
    <row r="428">
      <c r="S428" s="40"/>
    </row>
    <row r="429">
      <c r="S429" s="40"/>
    </row>
    <row r="430">
      <c r="S430" s="40"/>
    </row>
    <row r="431">
      <c r="S431" s="40"/>
    </row>
    <row r="432">
      <c r="S432" s="40"/>
    </row>
    <row r="433">
      <c r="S433" s="40"/>
    </row>
    <row r="434">
      <c r="S434" s="40"/>
    </row>
    <row r="435">
      <c r="S435" s="40"/>
    </row>
    <row r="436">
      <c r="S436" s="40"/>
    </row>
    <row r="437">
      <c r="S437" s="40"/>
    </row>
    <row r="438">
      <c r="S438" s="40"/>
    </row>
    <row r="439">
      <c r="S439" s="40"/>
    </row>
    <row r="440">
      <c r="S440" s="40"/>
    </row>
    <row r="441">
      <c r="S441" s="40"/>
    </row>
    <row r="442">
      <c r="S442" s="40"/>
    </row>
    <row r="443">
      <c r="S443" s="40"/>
    </row>
    <row r="444">
      <c r="S444" s="40"/>
    </row>
    <row r="445">
      <c r="S445" s="40"/>
    </row>
    <row r="446">
      <c r="S446" s="40"/>
    </row>
    <row r="447">
      <c r="S447" s="40"/>
    </row>
    <row r="448">
      <c r="S448" s="40"/>
    </row>
    <row r="449">
      <c r="S449" s="40"/>
    </row>
    <row r="450">
      <c r="S450" s="40"/>
    </row>
    <row r="451">
      <c r="S451" s="40"/>
    </row>
    <row r="452">
      <c r="S452" s="40"/>
    </row>
    <row r="453">
      <c r="S453" s="40"/>
    </row>
    <row r="454">
      <c r="S454" s="40"/>
    </row>
    <row r="455">
      <c r="S455" s="40"/>
    </row>
    <row r="456">
      <c r="S456" s="40"/>
    </row>
    <row r="457">
      <c r="S457" s="40"/>
    </row>
    <row r="458">
      <c r="S458" s="40"/>
    </row>
    <row r="459">
      <c r="S459" s="40"/>
    </row>
    <row r="460">
      <c r="S460" s="40"/>
    </row>
    <row r="461">
      <c r="S461" s="40"/>
    </row>
    <row r="462">
      <c r="S462" s="40"/>
    </row>
    <row r="463">
      <c r="S463" s="40"/>
    </row>
    <row r="464">
      <c r="S464" s="40"/>
    </row>
    <row r="465">
      <c r="S465" s="40"/>
    </row>
    <row r="466">
      <c r="S466" s="40"/>
    </row>
    <row r="467">
      <c r="S467" s="40"/>
    </row>
    <row r="468">
      <c r="S468" s="40"/>
    </row>
    <row r="469">
      <c r="S469" s="40"/>
    </row>
    <row r="470">
      <c r="S470" s="40"/>
    </row>
    <row r="471">
      <c r="S471" s="40"/>
    </row>
    <row r="472">
      <c r="S472" s="40"/>
    </row>
    <row r="473">
      <c r="S473" s="40"/>
    </row>
    <row r="474">
      <c r="S474" s="40"/>
    </row>
    <row r="475">
      <c r="S475" s="40"/>
    </row>
    <row r="476">
      <c r="S476" s="40"/>
    </row>
    <row r="477">
      <c r="S477" s="40"/>
    </row>
    <row r="478">
      <c r="S478" s="40"/>
    </row>
    <row r="479">
      <c r="S479" s="40"/>
    </row>
    <row r="480">
      <c r="S480" s="40"/>
    </row>
    <row r="481">
      <c r="S481" s="40"/>
    </row>
    <row r="482">
      <c r="S482" s="40"/>
    </row>
    <row r="483">
      <c r="S483" s="40"/>
    </row>
    <row r="484">
      <c r="S484" s="40"/>
    </row>
    <row r="485">
      <c r="S485" s="40"/>
    </row>
    <row r="486">
      <c r="S486" s="40"/>
    </row>
    <row r="487">
      <c r="S487" s="40"/>
    </row>
    <row r="488">
      <c r="S488" s="40"/>
    </row>
    <row r="489">
      <c r="S489" s="40"/>
    </row>
    <row r="490">
      <c r="S490" s="40"/>
    </row>
    <row r="491">
      <c r="S491" s="40"/>
    </row>
    <row r="492">
      <c r="S492" s="40"/>
    </row>
    <row r="493">
      <c r="S493" s="40"/>
    </row>
    <row r="494">
      <c r="S494" s="40"/>
    </row>
    <row r="495">
      <c r="S495" s="40"/>
    </row>
    <row r="496">
      <c r="S496" s="40"/>
    </row>
    <row r="497">
      <c r="S497" s="40"/>
    </row>
    <row r="498">
      <c r="S498" s="40"/>
    </row>
    <row r="499">
      <c r="S499" s="40"/>
    </row>
    <row r="500">
      <c r="S500" s="40"/>
    </row>
    <row r="501">
      <c r="S501" s="40"/>
    </row>
    <row r="502">
      <c r="S502" s="40"/>
    </row>
    <row r="503">
      <c r="S503" s="40"/>
    </row>
    <row r="504">
      <c r="S504" s="40"/>
    </row>
    <row r="505">
      <c r="S505" s="40"/>
    </row>
    <row r="506">
      <c r="S506" s="40"/>
    </row>
    <row r="507">
      <c r="S507" s="40"/>
    </row>
    <row r="508">
      <c r="S508" s="40"/>
    </row>
    <row r="509">
      <c r="S509" s="40"/>
    </row>
    <row r="510">
      <c r="S510" s="40"/>
    </row>
    <row r="511">
      <c r="S511" s="40"/>
    </row>
    <row r="512">
      <c r="S512" s="40"/>
    </row>
    <row r="513">
      <c r="S513" s="40"/>
    </row>
    <row r="514">
      <c r="S514" s="40"/>
    </row>
    <row r="515">
      <c r="S515" s="40"/>
    </row>
    <row r="516">
      <c r="S516" s="40"/>
    </row>
    <row r="517">
      <c r="S517" s="40"/>
    </row>
    <row r="518">
      <c r="S518" s="40"/>
    </row>
    <row r="519">
      <c r="S519" s="40"/>
    </row>
    <row r="520">
      <c r="S520" s="40"/>
    </row>
    <row r="521">
      <c r="S521" s="40"/>
    </row>
    <row r="522">
      <c r="S522" s="40"/>
    </row>
    <row r="523">
      <c r="S523" s="40"/>
    </row>
    <row r="524">
      <c r="S524" s="40"/>
    </row>
    <row r="525">
      <c r="S525" s="40"/>
    </row>
    <row r="526">
      <c r="S526" s="40"/>
    </row>
    <row r="527">
      <c r="S527" s="40"/>
    </row>
    <row r="528">
      <c r="S528" s="40"/>
    </row>
    <row r="529">
      <c r="S529" s="40"/>
    </row>
    <row r="530">
      <c r="S530" s="40"/>
    </row>
    <row r="531">
      <c r="S531" s="40"/>
    </row>
    <row r="532">
      <c r="S532" s="40"/>
    </row>
    <row r="533">
      <c r="S533" s="40"/>
    </row>
    <row r="534">
      <c r="S534" s="40"/>
    </row>
    <row r="535">
      <c r="S535" s="40"/>
    </row>
    <row r="536">
      <c r="S536" s="40"/>
    </row>
    <row r="537">
      <c r="S537" s="40"/>
    </row>
    <row r="538">
      <c r="S538" s="40"/>
    </row>
    <row r="539">
      <c r="S539" s="40"/>
    </row>
    <row r="540">
      <c r="S540" s="40"/>
    </row>
    <row r="541">
      <c r="S541" s="40"/>
    </row>
    <row r="542">
      <c r="S542" s="40"/>
    </row>
    <row r="543">
      <c r="S543" s="40"/>
    </row>
    <row r="544">
      <c r="S544" s="40"/>
    </row>
    <row r="545">
      <c r="S545" s="40"/>
    </row>
    <row r="546">
      <c r="S546" s="40"/>
    </row>
    <row r="547">
      <c r="S547" s="40"/>
    </row>
    <row r="548">
      <c r="S548" s="40"/>
    </row>
    <row r="549">
      <c r="S549" s="40"/>
    </row>
    <row r="550">
      <c r="S550" s="40"/>
    </row>
    <row r="551">
      <c r="S551" s="40"/>
    </row>
    <row r="552">
      <c r="S552" s="40"/>
    </row>
    <row r="553">
      <c r="S553" s="40"/>
    </row>
    <row r="554">
      <c r="S554" s="40"/>
    </row>
    <row r="555">
      <c r="S555" s="40"/>
    </row>
    <row r="556">
      <c r="S556" s="40"/>
    </row>
    <row r="557">
      <c r="S557" s="40"/>
    </row>
    <row r="558">
      <c r="S558" s="40"/>
    </row>
    <row r="559">
      <c r="S559" s="40"/>
    </row>
    <row r="560">
      <c r="S560" s="40"/>
    </row>
    <row r="561">
      <c r="S561" s="40"/>
    </row>
    <row r="562">
      <c r="S562" s="40"/>
    </row>
    <row r="563">
      <c r="S563" s="40"/>
    </row>
    <row r="564">
      <c r="S564" s="40"/>
    </row>
    <row r="565">
      <c r="S565" s="40"/>
    </row>
    <row r="566">
      <c r="S566" s="40"/>
    </row>
    <row r="567">
      <c r="S567" s="40"/>
    </row>
    <row r="568">
      <c r="S568" s="40"/>
    </row>
    <row r="569">
      <c r="S569" s="40"/>
    </row>
    <row r="570">
      <c r="S570" s="40"/>
    </row>
    <row r="571">
      <c r="S571" s="40"/>
    </row>
    <row r="572">
      <c r="S572" s="40"/>
    </row>
    <row r="573">
      <c r="S573" s="40"/>
    </row>
    <row r="574">
      <c r="S574" s="40"/>
    </row>
    <row r="575">
      <c r="S575" s="40"/>
    </row>
    <row r="576">
      <c r="S576" s="40"/>
    </row>
    <row r="577">
      <c r="S577" s="40"/>
    </row>
    <row r="578">
      <c r="S578" s="40"/>
    </row>
    <row r="579">
      <c r="S579" s="40"/>
    </row>
    <row r="580">
      <c r="S580" s="40"/>
    </row>
    <row r="581">
      <c r="S581" s="40"/>
    </row>
    <row r="582">
      <c r="S582" s="40"/>
    </row>
    <row r="583">
      <c r="S583" s="40"/>
    </row>
    <row r="584">
      <c r="S584" s="40"/>
    </row>
    <row r="585">
      <c r="S585" s="40"/>
    </row>
    <row r="586">
      <c r="S586" s="40"/>
    </row>
    <row r="587">
      <c r="S587" s="40"/>
    </row>
    <row r="588">
      <c r="S588" s="40"/>
    </row>
    <row r="589">
      <c r="S589" s="40"/>
    </row>
    <row r="590">
      <c r="S590" s="40"/>
    </row>
    <row r="591">
      <c r="S591" s="40"/>
    </row>
    <row r="592">
      <c r="S592" s="40"/>
    </row>
    <row r="593">
      <c r="S593" s="40"/>
    </row>
    <row r="594">
      <c r="S594" s="40"/>
    </row>
    <row r="595">
      <c r="S595" s="40"/>
    </row>
    <row r="596">
      <c r="S596" s="40"/>
    </row>
    <row r="597">
      <c r="S597" s="40"/>
    </row>
    <row r="598">
      <c r="S598" s="40"/>
    </row>
    <row r="599">
      <c r="S599" s="40"/>
    </row>
    <row r="600">
      <c r="S600" s="40"/>
    </row>
    <row r="601">
      <c r="S601" s="40"/>
    </row>
    <row r="602">
      <c r="S602" s="40"/>
    </row>
    <row r="603">
      <c r="S603" s="40"/>
    </row>
    <row r="604">
      <c r="S604" s="40"/>
    </row>
    <row r="605">
      <c r="S605" s="40"/>
    </row>
    <row r="606">
      <c r="S606" s="40"/>
    </row>
    <row r="607">
      <c r="S607" s="40"/>
    </row>
    <row r="608">
      <c r="S608" s="40"/>
    </row>
    <row r="609">
      <c r="S609" s="40"/>
    </row>
    <row r="610">
      <c r="S610" s="40"/>
    </row>
    <row r="611">
      <c r="S611" s="40"/>
    </row>
    <row r="612">
      <c r="S612" s="40"/>
    </row>
    <row r="613">
      <c r="S613" s="40"/>
    </row>
    <row r="614">
      <c r="S614" s="40"/>
    </row>
    <row r="615">
      <c r="S615" s="40"/>
    </row>
    <row r="616">
      <c r="S616" s="40"/>
    </row>
    <row r="617">
      <c r="S617" s="40"/>
    </row>
    <row r="618">
      <c r="S618" s="40"/>
    </row>
    <row r="619">
      <c r="S619" s="40"/>
    </row>
    <row r="620">
      <c r="S620" s="40"/>
    </row>
    <row r="621">
      <c r="S621" s="40"/>
    </row>
    <row r="622">
      <c r="S622" s="40"/>
    </row>
    <row r="623">
      <c r="S623" s="40"/>
    </row>
    <row r="624">
      <c r="S624" s="40"/>
    </row>
    <row r="625">
      <c r="S625" s="40"/>
    </row>
    <row r="626">
      <c r="S626" s="40"/>
    </row>
    <row r="627">
      <c r="S627" s="40"/>
    </row>
    <row r="628">
      <c r="S628" s="40"/>
    </row>
    <row r="629">
      <c r="S629" s="40"/>
    </row>
    <row r="630">
      <c r="S630" s="40"/>
    </row>
    <row r="631">
      <c r="S631" s="40"/>
    </row>
    <row r="632">
      <c r="S632" s="40"/>
    </row>
    <row r="633">
      <c r="S633" s="40"/>
    </row>
    <row r="634">
      <c r="S634" s="40"/>
    </row>
    <row r="635">
      <c r="S635" s="40"/>
    </row>
    <row r="636">
      <c r="S636" s="40"/>
    </row>
    <row r="637">
      <c r="S637" s="40"/>
    </row>
    <row r="638">
      <c r="S638" s="40"/>
    </row>
    <row r="639">
      <c r="S639" s="40"/>
    </row>
    <row r="640">
      <c r="S640" s="40"/>
    </row>
    <row r="641">
      <c r="S641" s="40"/>
    </row>
    <row r="642">
      <c r="S642" s="40"/>
    </row>
    <row r="643">
      <c r="S643" s="40"/>
    </row>
    <row r="644">
      <c r="S644" s="40"/>
    </row>
    <row r="645">
      <c r="S645" s="40"/>
    </row>
    <row r="646">
      <c r="S646" s="40"/>
    </row>
    <row r="647">
      <c r="S647" s="40"/>
    </row>
    <row r="648">
      <c r="S648" s="40"/>
    </row>
    <row r="649">
      <c r="S649" s="40"/>
    </row>
    <row r="650">
      <c r="S650" s="40"/>
    </row>
    <row r="651">
      <c r="S651" s="40"/>
    </row>
    <row r="652">
      <c r="S652" s="40"/>
    </row>
    <row r="653">
      <c r="S653" s="40"/>
    </row>
    <row r="654">
      <c r="S654" s="40"/>
    </row>
    <row r="655">
      <c r="S655" s="40"/>
    </row>
    <row r="656">
      <c r="S656" s="40"/>
    </row>
    <row r="657">
      <c r="S657" s="40"/>
    </row>
    <row r="658">
      <c r="S658" s="40"/>
    </row>
    <row r="659">
      <c r="S659" s="40"/>
    </row>
    <row r="660">
      <c r="S660" s="40"/>
    </row>
    <row r="661">
      <c r="S661" s="40"/>
    </row>
    <row r="662">
      <c r="S662" s="40"/>
    </row>
    <row r="663">
      <c r="S663" s="40"/>
    </row>
    <row r="664">
      <c r="S664" s="40"/>
    </row>
    <row r="665">
      <c r="S665" s="40"/>
    </row>
    <row r="666">
      <c r="S666" s="40"/>
    </row>
    <row r="667">
      <c r="S667" s="40"/>
    </row>
    <row r="668">
      <c r="S668" s="40"/>
    </row>
    <row r="669">
      <c r="S669" s="40"/>
    </row>
    <row r="670">
      <c r="S670" s="40"/>
    </row>
    <row r="671">
      <c r="S671" s="40"/>
    </row>
    <row r="672">
      <c r="S672" s="40"/>
    </row>
    <row r="673">
      <c r="S673" s="40"/>
    </row>
    <row r="674">
      <c r="S674" s="40"/>
    </row>
    <row r="675">
      <c r="S675" s="40"/>
    </row>
    <row r="676">
      <c r="S676" s="40"/>
    </row>
    <row r="677">
      <c r="S677" s="40"/>
    </row>
    <row r="678">
      <c r="S678" s="40"/>
    </row>
    <row r="679">
      <c r="S679" s="40"/>
    </row>
    <row r="680">
      <c r="S680" s="40"/>
    </row>
    <row r="681">
      <c r="S681" s="40"/>
    </row>
    <row r="682">
      <c r="S682" s="40"/>
    </row>
    <row r="683">
      <c r="S683" s="40"/>
    </row>
    <row r="684">
      <c r="S684" s="40"/>
    </row>
    <row r="685">
      <c r="S685" s="40"/>
    </row>
    <row r="686">
      <c r="S686" s="40"/>
    </row>
    <row r="687">
      <c r="S687" s="40"/>
    </row>
    <row r="688">
      <c r="S688" s="40"/>
    </row>
    <row r="689">
      <c r="S689" s="40"/>
    </row>
    <row r="690">
      <c r="S690" s="40"/>
    </row>
    <row r="691">
      <c r="S691" s="40"/>
    </row>
    <row r="692">
      <c r="S692" s="40"/>
    </row>
    <row r="693">
      <c r="S693" s="40"/>
    </row>
    <row r="694">
      <c r="S694" s="40"/>
    </row>
    <row r="695">
      <c r="S695" s="40"/>
    </row>
    <row r="696">
      <c r="S696" s="40"/>
    </row>
    <row r="697">
      <c r="S697" s="40"/>
    </row>
    <row r="698">
      <c r="S698" s="40"/>
    </row>
    <row r="699">
      <c r="S699" s="40"/>
    </row>
    <row r="700">
      <c r="S700" s="40"/>
    </row>
    <row r="701">
      <c r="S701" s="40"/>
    </row>
    <row r="702">
      <c r="S702" s="40"/>
    </row>
    <row r="703">
      <c r="S703" s="40"/>
    </row>
    <row r="704">
      <c r="S704" s="40"/>
    </row>
    <row r="705">
      <c r="S705" s="40"/>
    </row>
    <row r="706">
      <c r="S706" s="40"/>
    </row>
    <row r="707">
      <c r="S707" s="40"/>
    </row>
    <row r="708">
      <c r="S708" s="40"/>
    </row>
    <row r="709">
      <c r="S709" s="40"/>
    </row>
    <row r="710">
      <c r="S710" s="40"/>
    </row>
    <row r="711">
      <c r="S711" s="40"/>
    </row>
    <row r="712">
      <c r="S712" s="40"/>
    </row>
    <row r="713">
      <c r="S713" s="40"/>
    </row>
    <row r="714">
      <c r="S714" s="40"/>
    </row>
    <row r="715">
      <c r="S715" s="40"/>
    </row>
    <row r="716">
      <c r="S716" s="40"/>
    </row>
    <row r="717">
      <c r="S717" s="40"/>
    </row>
    <row r="718">
      <c r="S718" s="40"/>
    </row>
    <row r="719">
      <c r="S719" s="40"/>
    </row>
    <row r="720">
      <c r="S720" s="40"/>
    </row>
    <row r="721">
      <c r="S721" s="40"/>
    </row>
    <row r="722">
      <c r="S722" s="40"/>
    </row>
    <row r="723">
      <c r="S723" s="40"/>
    </row>
    <row r="724">
      <c r="S724" s="40"/>
    </row>
    <row r="725">
      <c r="S725" s="40"/>
    </row>
    <row r="726">
      <c r="S726" s="40"/>
    </row>
    <row r="727">
      <c r="S727" s="40"/>
    </row>
    <row r="728">
      <c r="S728" s="40"/>
    </row>
    <row r="729">
      <c r="S729" s="40"/>
    </row>
    <row r="730">
      <c r="S730" s="40"/>
    </row>
    <row r="731">
      <c r="S731" s="40"/>
    </row>
    <row r="732">
      <c r="S732" s="40"/>
    </row>
    <row r="733">
      <c r="S733" s="40"/>
    </row>
    <row r="734">
      <c r="S734" s="40"/>
    </row>
    <row r="735">
      <c r="S735" s="40"/>
    </row>
    <row r="736">
      <c r="S736" s="40"/>
    </row>
    <row r="737">
      <c r="S737" s="40"/>
    </row>
    <row r="738">
      <c r="S738" s="40"/>
    </row>
    <row r="739">
      <c r="S739" s="40"/>
    </row>
    <row r="740">
      <c r="S740" s="40"/>
    </row>
    <row r="741">
      <c r="S741" s="40"/>
    </row>
    <row r="742">
      <c r="S742" s="40"/>
    </row>
    <row r="743">
      <c r="S743" s="40"/>
    </row>
    <row r="744">
      <c r="S744" s="40"/>
    </row>
    <row r="745">
      <c r="S745" s="40"/>
    </row>
    <row r="746">
      <c r="S746" s="40"/>
    </row>
    <row r="747">
      <c r="S747" s="40"/>
    </row>
    <row r="748">
      <c r="S748" s="40"/>
    </row>
    <row r="749">
      <c r="S749" s="40"/>
    </row>
    <row r="750">
      <c r="S750" s="40"/>
    </row>
    <row r="751">
      <c r="S751" s="40"/>
    </row>
    <row r="752">
      <c r="S752" s="40"/>
    </row>
    <row r="753">
      <c r="S753" s="40"/>
    </row>
    <row r="754">
      <c r="S754" s="40"/>
    </row>
    <row r="755">
      <c r="S755" s="40"/>
    </row>
    <row r="756">
      <c r="S756" s="40"/>
    </row>
    <row r="757">
      <c r="S757" s="40"/>
    </row>
    <row r="758">
      <c r="S758" s="40"/>
    </row>
    <row r="759">
      <c r="S759" s="40"/>
    </row>
    <row r="760">
      <c r="S760" s="40"/>
    </row>
    <row r="761">
      <c r="S761" s="40"/>
    </row>
    <row r="762">
      <c r="S762" s="40"/>
    </row>
    <row r="763">
      <c r="S763" s="40"/>
    </row>
    <row r="764">
      <c r="S764" s="40"/>
    </row>
    <row r="765">
      <c r="S765" s="40"/>
    </row>
    <row r="766">
      <c r="S766" s="40"/>
    </row>
    <row r="767">
      <c r="S767" s="40"/>
    </row>
    <row r="768">
      <c r="S768" s="40"/>
    </row>
    <row r="769">
      <c r="S769" s="40"/>
    </row>
    <row r="770">
      <c r="S770" s="40"/>
    </row>
    <row r="771">
      <c r="S771" s="40"/>
    </row>
    <row r="772">
      <c r="S772" s="40"/>
    </row>
    <row r="773">
      <c r="S773" s="40"/>
    </row>
    <row r="774">
      <c r="S774" s="40"/>
    </row>
    <row r="775">
      <c r="S775" s="40"/>
    </row>
    <row r="776">
      <c r="S776" s="40"/>
    </row>
    <row r="777">
      <c r="S777" s="40"/>
    </row>
    <row r="778">
      <c r="S778" s="40"/>
    </row>
    <row r="779">
      <c r="S779" s="40"/>
    </row>
    <row r="780">
      <c r="S780" s="40"/>
    </row>
    <row r="781">
      <c r="S781" s="40"/>
    </row>
    <row r="782">
      <c r="S782" s="40"/>
    </row>
    <row r="783">
      <c r="S783" s="40"/>
    </row>
    <row r="784">
      <c r="S784" s="40"/>
    </row>
    <row r="785">
      <c r="S785" s="40"/>
    </row>
    <row r="786">
      <c r="S786" s="40"/>
    </row>
    <row r="787">
      <c r="S787" s="40"/>
    </row>
    <row r="788">
      <c r="S788" s="40"/>
    </row>
    <row r="789">
      <c r="S789" s="40"/>
    </row>
    <row r="790">
      <c r="S790" s="40"/>
    </row>
    <row r="791">
      <c r="S791" s="40"/>
    </row>
    <row r="792">
      <c r="S792" s="40"/>
    </row>
    <row r="793">
      <c r="S793" s="40"/>
    </row>
    <row r="794">
      <c r="S794" s="40"/>
    </row>
    <row r="795">
      <c r="S795" s="40"/>
    </row>
    <row r="796">
      <c r="S796" s="40"/>
    </row>
    <row r="797">
      <c r="S797" s="40"/>
    </row>
    <row r="798">
      <c r="S798" s="40"/>
    </row>
    <row r="799">
      <c r="S799" s="40"/>
    </row>
    <row r="800">
      <c r="S800" s="40"/>
    </row>
    <row r="801">
      <c r="S801" s="40"/>
    </row>
    <row r="802">
      <c r="S802" s="40"/>
    </row>
    <row r="803">
      <c r="S803" s="40"/>
    </row>
    <row r="804">
      <c r="S804" s="40"/>
    </row>
    <row r="805">
      <c r="S805" s="40"/>
    </row>
    <row r="806">
      <c r="S806" s="40"/>
    </row>
    <row r="807">
      <c r="S807" s="40"/>
    </row>
    <row r="808">
      <c r="S808" s="40"/>
    </row>
    <row r="809">
      <c r="S809" s="40"/>
    </row>
    <row r="810">
      <c r="S810" s="40"/>
    </row>
    <row r="811">
      <c r="S811" s="40"/>
    </row>
    <row r="812">
      <c r="S812" s="40"/>
    </row>
    <row r="813">
      <c r="S813" s="40"/>
    </row>
    <row r="814">
      <c r="S814" s="40"/>
    </row>
    <row r="815">
      <c r="S815" s="40"/>
    </row>
    <row r="816">
      <c r="S816" s="40"/>
    </row>
    <row r="817">
      <c r="S817" s="40"/>
    </row>
    <row r="818">
      <c r="S818" s="40"/>
    </row>
    <row r="819">
      <c r="S819" s="40"/>
    </row>
    <row r="820">
      <c r="S820" s="40"/>
    </row>
    <row r="821">
      <c r="S821" s="40"/>
    </row>
    <row r="822">
      <c r="S822" s="40"/>
    </row>
    <row r="823">
      <c r="S823" s="40"/>
    </row>
    <row r="824">
      <c r="S824" s="40"/>
    </row>
    <row r="825">
      <c r="S825" s="40"/>
    </row>
    <row r="826">
      <c r="S826" s="40"/>
    </row>
    <row r="827">
      <c r="S827" s="40"/>
    </row>
    <row r="828">
      <c r="S828" s="40"/>
    </row>
    <row r="829">
      <c r="S829" s="40"/>
    </row>
    <row r="830">
      <c r="S830" s="40"/>
    </row>
    <row r="831">
      <c r="S831" s="40"/>
    </row>
    <row r="832">
      <c r="S832" s="40"/>
    </row>
    <row r="833">
      <c r="S833" s="40"/>
    </row>
    <row r="834">
      <c r="S834" s="40"/>
    </row>
    <row r="835">
      <c r="S835" s="40"/>
    </row>
    <row r="836">
      <c r="S836" s="40"/>
    </row>
    <row r="837">
      <c r="S837" s="40"/>
    </row>
    <row r="838">
      <c r="S838" s="40"/>
    </row>
    <row r="839">
      <c r="S839" s="40"/>
    </row>
    <row r="840">
      <c r="S840" s="40"/>
    </row>
    <row r="841">
      <c r="S841" s="40"/>
    </row>
    <row r="842">
      <c r="S842" s="40"/>
    </row>
    <row r="843">
      <c r="S843" s="40"/>
    </row>
    <row r="844">
      <c r="S844" s="40"/>
    </row>
    <row r="845">
      <c r="S845" s="40"/>
    </row>
    <row r="846">
      <c r="S846" s="40"/>
    </row>
    <row r="847">
      <c r="S847" s="40"/>
    </row>
    <row r="848">
      <c r="S848" s="40"/>
    </row>
    <row r="849">
      <c r="S849" s="40"/>
    </row>
    <row r="850">
      <c r="S850" s="40"/>
    </row>
    <row r="851">
      <c r="S851" s="40"/>
    </row>
    <row r="852">
      <c r="S852" s="40"/>
    </row>
    <row r="853">
      <c r="S853" s="40"/>
    </row>
    <row r="854">
      <c r="S854" s="40"/>
    </row>
    <row r="855">
      <c r="S855" s="40"/>
    </row>
    <row r="856">
      <c r="S856" s="40"/>
    </row>
    <row r="857">
      <c r="S857" s="40"/>
    </row>
    <row r="858">
      <c r="S858" s="40"/>
    </row>
    <row r="859">
      <c r="S859" s="40"/>
    </row>
    <row r="860">
      <c r="S860" s="40"/>
    </row>
    <row r="861">
      <c r="S861" s="40"/>
    </row>
    <row r="862">
      <c r="S862" s="40"/>
    </row>
    <row r="863">
      <c r="S863" s="40"/>
    </row>
    <row r="864">
      <c r="S864" s="40"/>
    </row>
    <row r="865">
      <c r="S865" s="40"/>
    </row>
    <row r="866">
      <c r="S866" s="40"/>
    </row>
    <row r="867">
      <c r="S867" s="40"/>
    </row>
    <row r="868">
      <c r="S868" s="40"/>
    </row>
    <row r="869">
      <c r="S869" s="40"/>
    </row>
    <row r="870">
      <c r="S870" s="40"/>
    </row>
    <row r="871">
      <c r="S871" s="40"/>
    </row>
    <row r="872">
      <c r="S872" s="40"/>
    </row>
    <row r="873">
      <c r="S873" s="40"/>
    </row>
    <row r="874">
      <c r="S874" s="40"/>
    </row>
    <row r="875">
      <c r="S875" s="40"/>
    </row>
    <row r="876">
      <c r="S876" s="40"/>
    </row>
    <row r="877">
      <c r="S877" s="40"/>
    </row>
    <row r="878">
      <c r="S878" s="40"/>
    </row>
    <row r="879">
      <c r="S879" s="40"/>
    </row>
    <row r="880">
      <c r="S880" s="40"/>
    </row>
    <row r="881">
      <c r="S881" s="40"/>
    </row>
    <row r="882">
      <c r="S882" s="40"/>
    </row>
    <row r="883">
      <c r="S883" s="40"/>
    </row>
    <row r="884">
      <c r="S884" s="40"/>
    </row>
    <row r="885">
      <c r="S885" s="40"/>
    </row>
    <row r="886">
      <c r="S886" s="40"/>
    </row>
    <row r="887">
      <c r="S887" s="40"/>
    </row>
    <row r="888">
      <c r="S888" s="40"/>
    </row>
    <row r="889">
      <c r="S889" s="40"/>
    </row>
    <row r="890">
      <c r="S890" s="40"/>
    </row>
    <row r="891">
      <c r="S891" s="40"/>
    </row>
    <row r="892">
      <c r="S892" s="40"/>
    </row>
    <row r="893">
      <c r="S893" s="40"/>
    </row>
    <row r="894">
      <c r="S894" s="40"/>
    </row>
    <row r="895">
      <c r="S895" s="40"/>
    </row>
    <row r="896">
      <c r="S896" s="40"/>
    </row>
    <row r="897">
      <c r="S897" s="40"/>
    </row>
    <row r="898">
      <c r="S898" s="40"/>
    </row>
    <row r="899">
      <c r="S899" s="40"/>
    </row>
    <row r="900">
      <c r="S900" s="40"/>
    </row>
    <row r="901">
      <c r="S901" s="40"/>
    </row>
    <row r="902">
      <c r="S902" s="40"/>
    </row>
    <row r="903">
      <c r="S903" s="40"/>
    </row>
    <row r="904">
      <c r="S904" s="40"/>
    </row>
    <row r="905">
      <c r="S905" s="40"/>
    </row>
    <row r="906">
      <c r="S906" s="40"/>
    </row>
    <row r="907">
      <c r="S907" s="40"/>
    </row>
    <row r="908">
      <c r="S908" s="40"/>
    </row>
    <row r="909">
      <c r="S909" s="40"/>
    </row>
    <row r="910">
      <c r="S910" s="40"/>
    </row>
    <row r="911">
      <c r="S911" s="40"/>
    </row>
    <row r="912">
      <c r="S912" s="40"/>
    </row>
    <row r="913">
      <c r="S913" s="40"/>
    </row>
    <row r="914">
      <c r="S914" s="40"/>
    </row>
    <row r="915">
      <c r="S915" s="40"/>
    </row>
    <row r="916">
      <c r="S916" s="40"/>
    </row>
    <row r="917">
      <c r="S917" s="40"/>
    </row>
    <row r="918">
      <c r="S918" s="40"/>
    </row>
    <row r="919">
      <c r="S919" s="40"/>
    </row>
    <row r="920">
      <c r="S920" s="40"/>
    </row>
    <row r="921">
      <c r="S921" s="40"/>
    </row>
    <row r="922">
      <c r="S922" s="40"/>
    </row>
    <row r="923">
      <c r="S923" s="40"/>
    </row>
    <row r="924">
      <c r="S924" s="40"/>
    </row>
    <row r="925">
      <c r="S925" s="40"/>
    </row>
    <row r="926">
      <c r="S926" s="40"/>
    </row>
    <row r="927">
      <c r="S927" s="40"/>
    </row>
    <row r="928">
      <c r="S928" s="40"/>
    </row>
    <row r="929">
      <c r="S929" s="40"/>
    </row>
    <row r="930">
      <c r="S930" s="40"/>
    </row>
    <row r="931">
      <c r="S931" s="40"/>
    </row>
    <row r="932">
      <c r="S932" s="40"/>
    </row>
    <row r="933">
      <c r="S933" s="40"/>
    </row>
    <row r="934">
      <c r="S934" s="40"/>
    </row>
    <row r="935">
      <c r="S935" s="40"/>
    </row>
    <row r="936">
      <c r="S936" s="40"/>
    </row>
    <row r="937">
      <c r="S937" s="40"/>
    </row>
    <row r="938">
      <c r="S938" s="40"/>
    </row>
    <row r="939">
      <c r="S939" s="40"/>
    </row>
    <row r="940">
      <c r="S940" s="40"/>
    </row>
    <row r="941">
      <c r="S941" s="40"/>
    </row>
    <row r="942">
      <c r="S942" s="40"/>
    </row>
    <row r="943">
      <c r="S943" s="40"/>
    </row>
    <row r="944">
      <c r="S944" s="40"/>
    </row>
    <row r="945">
      <c r="S945" s="40"/>
    </row>
    <row r="946">
      <c r="S946" s="40"/>
    </row>
    <row r="947">
      <c r="S947" s="40"/>
    </row>
    <row r="948">
      <c r="S948" s="40"/>
    </row>
    <row r="949">
      <c r="S949" s="40"/>
    </row>
    <row r="950">
      <c r="S950" s="40"/>
    </row>
    <row r="951">
      <c r="S951" s="40"/>
    </row>
    <row r="952">
      <c r="S952" s="40"/>
    </row>
    <row r="953">
      <c r="S953" s="40"/>
    </row>
    <row r="954">
      <c r="S954" s="40"/>
    </row>
    <row r="955">
      <c r="S955" s="40"/>
    </row>
    <row r="956">
      <c r="S956" s="40"/>
    </row>
    <row r="957">
      <c r="S957" s="40"/>
    </row>
    <row r="958">
      <c r="S958" s="40"/>
    </row>
    <row r="959">
      <c r="S959" s="40"/>
    </row>
    <row r="960">
      <c r="S960" s="40"/>
    </row>
    <row r="961">
      <c r="S961" s="40"/>
    </row>
    <row r="962">
      <c r="S962" s="40"/>
    </row>
    <row r="963">
      <c r="S963" s="40"/>
    </row>
    <row r="964">
      <c r="S964" s="40"/>
    </row>
    <row r="965">
      <c r="S965" s="40"/>
    </row>
    <row r="966">
      <c r="S966" s="40"/>
    </row>
    <row r="967">
      <c r="S967" s="40"/>
    </row>
    <row r="968">
      <c r="S968" s="40"/>
    </row>
    <row r="969">
      <c r="S969" s="40"/>
    </row>
    <row r="970">
      <c r="S970" s="40"/>
    </row>
    <row r="971">
      <c r="S971" s="40"/>
    </row>
    <row r="972">
      <c r="S972" s="40"/>
    </row>
    <row r="973">
      <c r="S973" s="40"/>
    </row>
    <row r="974">
      <c r="S974" s="40"/>
    </row>
    <row r="975">
      <c r="S975" s="40"/>
    </row>
    <row r="976">
      <c r="S976" s="40"/>
    </row>
    <row r="977">
      <c r="S977" s="40"/>
    </row>
    <row r="978">
      <c r="S978" s="40"/>
    </row>
    <row r="979">
      <c r="S979" s="40"/>
    </row>
    <row r="980">
      <c r="S980" s="40"/>
    </row>
    <row r="981">
      <c r="S981" s="40"/>
    </row>
    <row r="982">
      <c r="S982" s="40"/>
    </row>
    <row r="983">
      <c r="S983" s="40"/>
    </row>
    <row r="984">
      <c r="S984" s="40"/>
    </row>
    <row r="985">
      <c r="S985" s="40"/>
    </row>
    <row r="986">
      <c r="S986" s="40"/>
    </row>
    <row r="987">
      <c r="S987" s="40"/>
    </row>
    <row r="988">
      <c r="S988" s="40"/>
    </row>
    <row r="989">
      <c r="S989" s="40"/>
    </row>
    <row r="990">
      <c r="S990" s="40"/>
    </row>
    <row r="991">
      <c r="S991" s="40"/>
    </row>
    <row r="992">
      <c r="S992" s="40"/>
    </row>
    <row r="993">
      <c r="S993" s="40"/>
    </row>
    <row r="994">
      <c r="S994" s="40"/>
    </row>
    <row r="995">
      <c r="S995" s="40"/>
    </row>
    <row r="996">
      <c r="S996" s="40"/>
    </row>
    <row r="997">
      <c r="S997" s="40"/>
    </row>
    <row r="998">
      <c r="S998" s="40"/>
    </row>
    <row r="999">
      <c r="S999" s="40"/>
    </row>
    <row r="1000">
      <c r="S1000" s="40"/>
    </row>
    <row r="1001">
      <c r="S1001" s="40"/>
    </row>
    <row r="1002">
      <c r="S1002" s="40"/>
    </row>
    <row r="1003">
      <c r="S1003" s="40"/>
    </row>
    <row r="1004">
      <c r="S1004" s="40"/>
    </row>
    <row r="1005">
      <c r="S1005" s="40"/>
    </row>
    <row r="1006">
      <c r="S1006" s="40"/>
    </row>
    <row r="1007">
      <c r="S1007" s="40"/>
    </row>
    <row r="1008">
      <c r="S1008" s="40"/>
    </row>
  </sheetData>
  <mergeCells count="3">
    <mergeCell ref="H7:J7"/>
    <mergeCell ref="L7:S7"/>
    <mergeCell ref="T7:AA7"/>
  </mergeCells>
  <drawing r:id="rId4"/>
  <legacyDrawing r:id="rId5"/>
</worksheet>
</file>